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ee3107690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87b788cd4c34e81"/>
    <x:sheet xmlns:r="http://schemas.openxmlformats.org/officeDocument/2006/relationships" name="Daily Usage" sheetId="2" r:id="R92ae58ecfbdd400c"/>
    <x:sheet xmlns:r="http://schemas.openxmlformats.org/officeDocument/2006/relationships" name="Usage Log" sheetId="3" r:id="R767c3a1f827f48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0.0"/>
    <x:numFmt numFmtId="202" formatCode="#,##0"/>
    <x:numFmt numFmtId="203" formatCode="ddd, dd mmm yyyy"/>
    <x:numFmt numFmtId="204" formatCode="0"/>
  </x:numFmts>
  <x:fonts count="12">
    <x:font>
      <x:sz val="11"/>
      <x:name val="Carlito"/>
    </x:font>
    <x:font>
      <x:b/>
      <x:sz val="20"/>
      <x:color rgb="FFFFFF"/>
      <x:name val="Carlito"/>
    </x:font>
    <x:font>
      <x:i/>
      <x:sz val="11"/>
      <x:color rgb="64748B"/>
      <x:name val="Carlito"/>
    </x:font>
    <x:font>
      <x:sz val="11"/>
      <x:color rgb="9A3412"/>
      <x:name val="Carlito"/>
    </x:font>
    <x:font>
      <x:b/>
      <x:sz val="11"/>
      <x:color rgb="FFFFFF"/>
      <x:name val="Carlito"/>
    </x:font>
    <x:font>
      <x:sz val="10"/>
      <x:color rgb="172033"/>
      <x:name val="Carlito"/>
    </x:font>
    <x:font>
      <x:sz val="9"/>
      <x:color rgb="64748B"/>
      <x:name val="Carlito"/>
    </x:font>
    <x:font>
      <x:b/>
      <x:sz val="24"/>
      <x:color rgb="FFFFFF"/>
      <x:name val="Carlito"/>
    </x:font>
    <x:font>
      <x:b/>
      <x:sz val="10"/>
      <x:color rgb="172554"/>
      <x:name val="Carlito"/>
    </x:font>
    <x:font>
      <x:b/>
      <x:sz val="22"/>
      <x:color rgb="2563EB"/>
      <x:name val="Carlito"/>
    </x:font>
    <x:font>
      <x:b/>
      <x:sz val="11"/>
      <x:color rgb="172554"/>
      <x:name val="Carlito"/>
    </x:font>
    <x:font>
      <x:sz val="11"/>
      <x:color rgb="1720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72554"/>
      </x:patternFill>
    </x:fill>
    <x:fill>
      <x:patternFill patternType="solid">
        <x:fgColor rgb="F8FAFC"/>
      </x:patternFill>
    </x:fill>
    <x:fill>
      <x:patternFill patternType="solid">
        <x:fgColor rgb="FFF7ED"/>
      </x:patternFill>
    </x:fill>
    <x:fill>
      <x:patternFill patternType="solid">
        <x:fgColor rgb="DBEAFE"/>
      </x:patternFill>
    </x:fill>
    <x:fill>
      <x:patternFill patternType="solid">
        <x:fgColor rgb="FFFFFF"/>
      </x:patternFill>
    </x:fill>
  </x:fills>
  <x:borders count="12">
    <x:border/>
    <x:border>
      <x:left>
        <x:color rgb="DCE4EE"/>
      </x:left>
      <x:top>
        <x:color rgb="DCE4EE"/>
      </x:top>
    </x:border>
    <x:border>
      <x:top>
        <x:color rgb="DCE4EE"/>
      </x:top>
    </x:border>
    <x:border>
      <x:right>
        <x:color rgb="DCE4EE"/>
      </x:right>
      <x:top>
        <x:color rgb="DCE4EE"/>
      </x:top>
    </x:border>
    <x:border>
      <x:left>
        <x:color rgb="DCE4EE"/>
      </x:left>
    </x:border>
    <x:border>
      <x:right>
        <x:color rgb="DCE4EE"/>
      </x:right>
    </x:border>
    <x:border>
      <x:left>
        <x:color rgb="DCE4EE"/>
      </x:left>
      <x:bottom>
        <x:color rgb="DCE4EE"/>
      </x:bottom>
    </x:border>
    <x:border>
      <x:bottom>
        <x:color rgb="DCE4EE"/>
      </x:bottom>
    </x:border>
    <x:border>
      <x:right>
        <x:color rgb="DCE4EE"/>
      </x:right>
      <x:bottom>
        <x:color rgb="DCE4EE"/>
      </x:bottom>
    </x:border>
    <x:border>
      <x:left>
        <x:color rgb="DCE4EE"/>
      </x:left>
      <x:top>
        <x:color rgb="DCE4EE"/>
      </x:top>
      <x:bottom>
        <x:color rgb="DCE4EE"/>
      </x:bottom>
    </x:border>
    <x:border>
      <x:top>
        <x:color rgb="DCE4EE"/>
      </x:top>
      <x:bottom>
        <x:color rgb="DCE4EE"/>
      </x:bottom>
    </x:border>
    <x:border>
      <x:right>
        <x:color rgb="DCE4EE"/>
      </x:right>
      <x:top>
        <x:color rgb="DCE4EE"/>
      </x:top>
      <x:bottom>
        <x:color rgb="DCE4EE"/>
      </x:bottom>
    </x:border>
  </x:borders>
  <x:cellStyleXfs count="1">
    <x:xf numFmtId="0" fontId="0" fillId="0" borderId="0"/>
  </x:cellStyleXfs>
  <x:cellXfs count="1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7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200" fontId="5" fillId="3" borderId="2" xfId="0" applyNumberFormat="1" applyFont="1" applyFill="1" applyBorder="1" applyAlignment="1">
      <x:alignment vertical="center"/>
    </x:xf>
    <x:xf numFmtId="201" fontId="5" fillId="3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2" fontId="5" fillId="3" borderId="2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3" fontId="5" fillId="0" borderId="4" xfId="0" applyNumberFormat="1" applyFont="1" applyFill="1" applyBorder="1"/>
    <x:xf numFmtId="203" fontId="5" fillId="0" borderId="6" xfId="0" applyNumberFormat="1" applyFont="1" applyFill="1" applyBorder="1"/>
    <x:xf numFmtId="204" fontId="5" fillId="0" borderId="2" xfId="0" applyNumberFormat="1" applyFont="1" applyFill="1" applyBorder="1"/>
    <x:xf numFmtId="204" fontId="5" fillId="0" borderId="0" xfId="0" applyNumberFormat="1" applyFont="1" applyFill="1" applyBorder="1"/>
    <x:xf numFmtId="204" fontId="5" fillId="0" borderId="7" xfId="0" applyNumberFormat="1" applyFont="1" applyFill="1" applyBorder="1"/>
    <x:xf numFmtId="202" fontId="5" fillId="0" borderId="2" xfId="0" applyNumberFormat="1" applyFont="1" applyFill="1" applyBorder="1"/>
    <x:xf numFmtId="202" fontId="5" fillId="0" borderId="0" xfId="0" applyNumberFormat="1" applyFont="1" applyFill="1" applyBorder="1"/>
    <x:xf numFmtId="202" fontId="5" fillId="0" borderId="7" xfId="0" applyNumberFormat="1" applyFont="1" applyFill="1" applyBorder="1"/>
    <x:xf numFmtId="201" fontId="5" fillId="0" borderId="3" xfId="0" applyNumberFormat="1" applyFont="1" applyFill="1" applyBorder="1"/>
    <x:xf numFmtId="201" fontId="5" fillId="0" borderId="5" xfId="0" applyNumberFormat="1" applyFont="1" applyFill="1" applyBorder="1"/>
    <x:xf numFmtId="201" fontId="5" fillId="0" borderId="8" xfId="0" applyNumberFormat="1" applyFont="1" applyFill="1" applyBorder="1"/>
    <x:xf numFmtId="203" fontId="5" fillId="3" borderId="1" xfId="0" applyNumberFormat="1" applyFont="1" applyFill="1" applyBorder="1"/>
    <x:xf numFmtId="204" fontId="5" fillId="3" borderId="2" xfId="0" applyNumberFormat="1" applyFont="1" applyFill="1" applyBorder="1"/>
    <x:xf numFmtId="202" fontId="5" fillId="3" borderId="2" xfId="0" applyNumberFormat="1" applyFont="1" applyFill="1" applyBorder="1"/>
    <x:xf numFmtId="201" fontId="5" fillId="3" borderId="3" xfId="0" applyNumberFormat="1" applyFont="1" applyFill="1" applyBorder="1"/>
    <x:xf numFmtId="203" fontId="5" fillId="3" borderId="4" xfId="0" applyNumberFormat="1" applyFont="1" applyFill="1" applyBorder="1"/>
    <x:xf numFmtId="204" fontId="5" fillId="3" borderId="0" xfId="0" applyNumberFormat="1" applyFont="1" applyFill="1" applyBorder="1"/>
    <x:xf numFmtId="202" fontId="5" fillId="3" borderId="0" xfId="0" applyNumberFormat="1" applyFont="1" applyFill="1" applyBorder="1"/>
    <x:xf numFmtId="201" fontId="5" fillId="3" borderId="5" xfId="0" applyNumberFormat="1" applyFont="1" applyFill="1" applyBorder="1"/>
    <x:xf numFmtId="203" fontId="5" fillId="3" borderId="6" xfId="0" applyNumberFormat="1" applyFont="1" applyFill="1" applyBorder="1"/>
    <x:xf numFmtId="204" fontId="5" fillId="3" borderId="7" xfId="0" applyNumberFormat="1" applyFont="1" applyFill="1" applyBorder="1"/>
    <x:xf numFmtId="202" fontId="5" fillId="3" borderId="7" xfId="0" applyNumberFormat="1" applyFont="1" applyFill="1" applyBorder="1"/>
    <x:xf numFmtId="201" fontId="5" fillId="3" borderId="8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8" xfId="0" applyNumberFormat="1" applyFont="1" applyFill="1" applyBorder="1"/>
    <x:xf numFmtId="202" fontId="6" fillId="0" borderId="3" xfId="0" applyNumberFormat="1" applyFont="1" applyFill="1" applyBorder="1"/>
    <x:xf numFmtId="202" fontId="6" fillId="0" borderId="5" xfId="0" applyNumberFormat="1" applyFont="1" applyFill="1" applyBorder="1"/>
    <x:xf numFmtId="202" fontId="6" fillId="0" borderId="8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9" xfId="0" applyNumberFormat="1" applyFont="1" applyFill="1" applyBorder="1" applyAlignment="1">
      <x:alignment horizontal="center"/>
    </x:xf>
    <x:xf numFmtId="0" fontId="8" fillId="5" borderId="10" xfId="0" applyNumberFormat="1" applyFont="1" applyFill="1" applyBorder="1" applyAlignment="1">
      <x:alignment horizontal="center"/>
    </x:xf>
    <x:xf numFmtId="0" fontId="8" fillId="5" borderId="11" xfId="0" applyNumberFormat="1" applyFont="1" applyFill="1" applyBorder="1" applyAlignment="1">
      <x:alignment horizontal="center"/>
    </x:xf>
    <x:xf numFmtId="0" fontId="8" fillId="5" borderId="9" xfId="0" applyNumberFormat="1" applyFont="1" applyFill="1" applyBorder="1" applyAlignment="1">
      <x:alignment horizontal="center" vertical="center"/>
    </x:xf>
    <x:xf numFmtId="0" fontId="8" fillId="5" borderId="10" xfId="0" applyNumberFormat="1" applyFont="1" applyFill="1" applyBorder="1" applyAlignment="1">
      <x:alignment horizontal="center" vertical="center"/>
    </x:xf>
    <x:xf numFmtId="0" fontId="8" fillId="5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1" xfId="0" applyNumberFormat="1" applyFont="1" applyFill="1" applyBorder="1"/>
    <x:xf numFmtId="0" fontId="9" fillId="6" borderId="2" xfId="0" applyNumberFormat="1" applyFont="1" applyFill="1" applyBorder="1"/>
    <x:xf numFmtId="0" fontId="9" fillId="6" borderId="3" xfId="0" applyNumberFormat="1" applyFont="1" applyFill="1" applyBorder="1"/>
    <x:xf numFmtId="0" fontId="9" fillId="6" borderId="6" xfId="0" applyNumberFormat="1" applyFont="1" applyFill="1" applyBorder="1"/>
    <x:xf numFmtId="0" fontId="9" fillId="6" borderId="7" xfId="0" applyNumberFormat="1" applyFont="1" applyFill="1" applyBorder="1"/>
    <x:xf numFmtId="0" fontId="9" fillId="6" borderId="8" xfId="0" applyNumberFormat="1" applyFont="1" applyFill="1" applyBorder="1"/>
    <x:xf numFmtId="202" fontId="9" fillId="6" borderId="1" xfId="0" applyNumberFormat="1" applyFont="1" applyFill="1" applyBorder="1"/>
    <x:xf numFmtId="202" fontId="9" fillId="6" borderId="2" xfId="0" applyNumberFormat="1" applyFont="1" applyFill="1" applyBorder="1"/>
    <x:xf numFmtId="202" fontId="9" fillId="6" borderId="3" xfId="0" applyNumberFormat="1" applyFont="1" applyFill="1" applyBorder="1"/>
    <x:xf numFmtId="202" fontId="9" fillId="6" borderId="6" xfId="0" applyNumberFormat="1" applyFont="1" applyFill="1" applyBorder="1"/>
    <x:xf numFmtId="202" fontId="9" fillId="6" borderId="7" xfId="0" applyNumberFormat="1" applyFont="1" applyFill="1" applyBorder="1"/>
    <x:xf numFmtId="202" fontId="9" fillId="6" borderId="8" xfId="0" applyNumberFormat="1" applyFont="1" applyFill="1" applyBorder="1"/>
    <x:xf numFmtId="202" fontId="9" fillId="6" borderId="1" xfId="0" applyNumberFormat="1" applyFont="1" applyFill="1" applyBorder="1" applyAlignment="1">
      <x:alignment horizontal="center"/>
    </x:xf>
    <x:xf numFmtId="202" fontId="9" fillId="6" borderId="2" xfId="0" applyNumberFormat="1" applyFont="1" applyFill="1" applyBorder="1" applyAlignment="1">
      <x:alignment horizontal="center"/>
    </x:xf>
    <x:xf numFmtId="202" fontId="9" fillId="6" borderId="3" xfId="0" applyNumberFormat="1" applyFont="1" applyFill="1" applyBorder="1" applyAlignment="1">
      <x:alignment horizontal="center"/>
    </x:xf>
    <x:xf numFmtId="202" fontId="9" fillId="6" borderId="6" xfId="0" applyNumberFormat="1" applyFont="1" applyFill="1" applyBorder="1" applyAlignment="1">
      <x:alignment horizontal="center"/>
    </x:xf>
    <x:xf numFmtId="202" fontId="9" fillId="6" borderId="7" xfId="0" applyNumberFormat="1" applyFont="1" applyFill="1" applyBorder="1" applyAlignment="1">
      <x:alignment horizontal="center"/>
    </x:xf>
    <x:xf numFmtId="202" fontId="9" fillId="6" borderId="8" xfId="0" applyNumberFormat="1" applyFont="1" applyFill="1" applyBorder="1" applyAlignment="1">
      <x:alignment horizontal="center"/>
    </x:xf>
    <x:xf numFmtId="202" fontId="9" fillId="6" borderId="1" xfId="0" applyNumberFormat="1" applyFont="1" applyFill="1" applyBorder="1" applyAlignment="1">
      <x:alignment horizontal="center" vertical="center"/>
    </x:xf>
    <x:xf numFmtId="202" fontId="9" fillId="6" borderId="2" xfId="0" applyNumberFormat="1" applyFont="1" applyFill="1" applyBorder="1" applyAlignment="1">
      <x:alignment horizontal="center" vertical="center"/>
    </x:xf>
    <x:xf numFmtId="202" fontId="9" fillId="6" borderId="3" xfId="0" applyNumberFormat="1" applyFont="1" applyFill="1" applyBorder="1" applyAlignment="1">
      <x:alignment horizontal="center" vertical="center"/>
    </x:xf>
    <x:xf numFmtId="202" fontId="9" fillId="6" borderId="6" xfId="0" applyNumberFormat="1" applyFont="1" applyFill="1" applyBorder="1" applyAlignment="1">
      <x:alignment horizontal="center" vertical="center"/>
    </x:xf>
    <x:xf numFmtId="202" fontId="9" fillId="6" borderId="7" xfId="0" applyNumberFormat="1" applyFont="1" applyFill="1" applyBorder="1" applyAlignment="1">
      <x:alignment horizontal="center" vertical="center"/>
    </x:xf>
    <x:xf numFmtId="202" fontId="9" fillId="6" borderId="8" xfId="0" applyNumberFormat="1" applyFont="1" applyFill="1" applyBorder="1" applyAlignment="1">
      <x:alignment horizontal="center" vertical="center"/>
    </x:xf>
    <x:xf numFmtId="204" fontId="9" fillId="6" borderId="1" xfId="0" applyNumberFormat="1" applyFont="1" applyFill="1" applyBorder="1"/>
    <x:xf numFmtId="204" fontId="9" fillId="6" borderId="2" xfId="0" applyNumberFormat="1" applyFont="1" applyFill="1" applyBorder="1"/>
    <x:xf numFmtId="204" fontId="9" fillId="6" borderId="3" xfId="0" applyNumberFormat="1" applyFont="1" applyFill="1" applyBorder="1"/>
    <x:xf numFmtId="204" fontId="9" fillId="6" borderId="6" xfId="0" applyNumberFormat="1" applyFont="1" applyFill="1" applyBorder="1"/>
    <x:xf numFmtId="204" fontId="9" fillId="6" borderId="7" xfId="0" applyNumberFormat="1" applyFont="1" applyFill="1" applyBorder="1"/>
    <x:xf numFmtId="204" fontId="9" fillId="6" borderId="8" xfId="0" applyNumberFormat="1" applyFont="1" applyFill="1" applyBorder="1"/>
    <x:xf numFmtId="204" fontId="9" fillId="6" borderId="1" xfId="0" applyNumberFormat="1" applyFont="1" applyFill="1" applyBorder="1" applyAlignment="1">
      <x:alignment horizontal="center"/>
    </x:xf>
    <x:xf numFmtId="204" fontId="9" fillId="6" borderId="2" xfId="0" applyNumberFormat="1" applyFont="1" applyFill="1" applyBorder="1" applyAlignment="1">
      <x:alignment horizontal="center"/>
    </x:xf>
    <x:xf numFmtId="204" fontId="9" fillId="6" borderId="3" xfId="0" applyNumberFormat="1" applyFont="1" applyFill="1" applyBorder="1" applyAlignment="1">
      <x:alignment horizontal="center"/>
    </x:xf>
    <x:xf numFmtId="204" fontId="9" fillId="6" borderId="6" xfId="0" applyNumberFormat="1" applyFont="1" applyFill="1" applyBorder="1" applyAlignment="1">
      <x:alignment horizontal="center"/>
    </x:xf>
    <x:xf numFmtId="204" fontId="9" fillId="6" borderId="7" xfId="0" applyNumberFormat="1" applyFont="1" applyFill="1" applyBorder="1" applyAlignment="1">
      <x:alignment horizontal="center"/>
    </x:xf>
    <x:xf numFmtId="204" fontId="9" fillId="6" borderId="8" xfId="0" applyNumberFormat="1" applyFont="1" applyFill="1" applyBorder="1" applyAlignment="1">
      <x:alignment horizontal="center"/>
    </x:xf>
    <x:xf numFmtId="204" fontId="9" fillId="6" borderId="1" xfId="0" applyNumberFormat="1" applyFont="1" applyFill="1" applyBorder="1" applyAlignment="1">
      <x:alignment horizontal="center" vertical="center"/>
    </x:xf>
    <x:xf numFmtId="204" fontId="9" fillId="6" borderId="2" xfId="0" applyNumberFormat="1" applyFont="1" applyFill="1" applyBorder="1" applyAlignment="1">
      <x:alignment horizontal="center" vertical="center"/>
    </x:xf>
    <x:xf numFmtId="204" fontId="9" fillId="6" borderId="3" xfId="0" applyNumberFormat="1" applyFont="1" applyFill="1" applyBorder="1" applyAlignment="1">
      <x:alignment horizontal="center" vertical="center"/>
    </x:xf>
    <x:xf numFmtId="204" fontId="9" fillId="6" borderId="6" xfId="0" applyNumberFormat="1" applyFont="1" applyFill="1" applyBorder="1" applyAlignment="1">
      <x:alignment horizontal="center" vertical="center"/>
    </x:xf>
    <x:xf numFmtId="204" fontId="9" fillId="6" borderId="7" xfId="0" applyNumberFormat="1" applyFont="1" applyFill="1" applyBorder="1" applyAlignment="1">
      <x:alignment horizontal="center" vertical="center"/>
    </x:xf>
    <x:xf numFmtId="204" fontId="9" fillId="6" borderId="8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1" fillId="3" borderId="2" xfId="0" applyNumberFormat="1" applyFont="1" applyFill="1" applyBorder="1"/>
    <x:xf numFmtId="0" fontId="11" fillId="3" borderId="3" xfId="0" applyNumberFormat="1" applyFont="1" applyFill="1" applyBorder="1"/>
    <x:xf numFmtId="0" fontId="11" fillId="3" borderId="4" xfId="0" applyNumberFormat="1" applyFont="1" applyFill="1" applyBorder="1"/>
    <x:xf numFmtId="0" fontId="11" fillId="3" borderId="5" xfId="0" applyNumberFormat="1" applyFont="1" applyFill="1" applyBorder="1"/>
    <x:xf numFmtId="0" fontId="11" fillId="3" borderId="6" xfId="0" applyNumberFormat="1" applyFont="1" applyFill="1" applyBorder="1"/>
    <x:xf numFmtId="0" fontId="11" fillId="3" borderId="7" xfId="0" applyNumberFormat="1" applyFont="1" applyFill="1" applyBorder="1"/>
    <x:xf numFmtId="0" fontId="11" fillId="3" borderId="8" xfId="0" applyNumberFormat="1" applyFont="1" applyFill="1" applyBorder="1"/>
    <x:xf numFmtId="0" fontId="11" fillId="3" borderId="1" xfId="0" applyNumberFormat="1" applyFont="1" applyFill="1" applyBorder="1" applyAlignment="1">
      <x:alignment wrapText="1"/>
    </x:xf>
    <x:xf numFmtId="0" fontId="11" fillId="3" borderId="2" xfId="0" applyNumberFormat="1" applyFont="1" applyFill="1" applyBorder="1" applyAlignment="1">
      <x:alignment wrapText="1"/>
    </x:xf>
    <x:xf numFmtId="0" fontId="11" fillId="3" borderId="3" xfId="0" applyNumberFormat="1" applyFont="1" applyFill="1" applyBorder="1" applyAlignment="1">
      <x:alignment wrapText="1"/>
    </x:xf>
    <x:xf numFmtId="0" fontId="11" fillId="3" borderId="4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11" fillId="3" borderId="5" xfId="0" applyNumberFormat="1" applyFont="1" applyFill="1" applyBorder="1" applyAlignment="1">
      <x:alignment wrapText="1"/>
    </x:xf>
    <x:xf numFmtId="0" fontId="11" fillId="3" borderId="6" xfId="0" applyNumberFormat="1" applyFont="1" applyFill="1" applyBorder="1" applyAlignment="1">
      <x:alignment wrapText="1"/>
    </x:xf>
    <x:xf numFmtId="0" fontId="11" fillId="3" borderId="7" xfId="0" applyNumberFormat="1" applyFont="1" applyFill="1" applyBorder="1" applyAlignment="1">
      <x:alignment wrapText="1"/>
    </x:xf>
    <x:xf numFmtId="0" fontId="11" fillId="3" borderId="8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vertical="top" wrapText="1"/>
    </x:xf>
    <x:xf numFmtId="0" fontId="11" fillId="3" borderId="2" xfId="0" applyNumberFormat="1" applyFont="1" applyFill="1" applyBorder="1" applyAlignment="1">
      <x:alignment vertical="top" wrapText="1"/>
    </x:xf>
    <x:xf numFmtId="0" fontId="11" fillId="3" borderId="3" xfId="0" applyNumberFormat="1" applyFont="1" applyFill="1" applyBorder="1" applyAlignment="1">
      <x:alignment vertical="top" wrapText="1"/>
    </x:xf>
    <x:xf numFmtId="0" fontId="11" fillId="3" borderId="4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top" wrapText="1"/>
    </x:xf>
    <x:xf numFmtId="0" fontId="11" fillId="3" borderId="5" xfId="0" applyNumberFormat="1" applyFont="1" applyFill="1" applyBorder="1" applyAlignment="1">
      <x:alignment vertical="top" wrapText="1"/>
    </x:xf>
    <x:xf numFmtId="0" fontId="11" fillId="3" borderId="6" xfId="0" applyNumberFormat="1" applyFont="1" applyFill="1" applyBorder="1" applyAlignment="1">
      <x:alignment vertical="top" wrapText="1"/>
    </x:xf>
    <x:xf numFmtId="0" fontId="11" fillId="3" borderId="7" xfId="0" applyNumberFormat="1" applyFont="1" applyFill="1" applyBorder="1" applyAlignment="1">
      <x:alignment vertical="top" wrapText="1"/>
    </x:xf>
    <x:xf numFmtId="0" fontId="11" fillId="3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db81d057a4468" /><Relationship Type="http://schemas.openxmlformats.org/officeDocument/2006/relationships/theme" Target="/xl/theme/theme1.xml" Id="R35341c04941146e3" /><Relationship Type="http://schemas.openxmlformats.org/officeDocument/2006/relationships/sharedStrings" Target="/xl/sharedStrings.xml" Id="R37e7168514be4453" /><Relationship Type="http://schemas.openxmlformats.org/officeDocument/2006/relationships/worksheet" Target="/xl/worksheets/sheet1.xml" Id="R587b788cd4c34e81" /><Relationship Type="http://schemas.openxmlformats.org/officeDocument/2006/relationships/worksheet" Target="/xl/worksheets/sheet2.xml" Id="R92ae58ecfbdd400c" /><Relationship Type="http://schemas.openxmlformats.org/officeDocument/2006/relationships/worksheet" Target="/xl/worksheets/sheet3.xml" Id="R767c3a1f827f48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d1adcb75eb4f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Tokens used by day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Chart Tokens</c:v>
          </c:tx>
          <c:cat>
            <c:strRef>
              <c:f>'Daily Usage'!$H$5:$H$105</c:f>
              <c:strCache>
                <c:ptCount val="0"/>
              </c:strCache>
            </c:strRef>
          </c:cat>
          <c:val>
            <c:numRef>
              <c:f>'Daily Usage'!$I$5:$I$105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d1adcb75eb4f2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DailyCodexUsage" displayName="DailyCodexUsage" ref="A4:G105" headerRowCount="1">
  <x:tableColumns count="7">
    <x:tableColumn id="1" name="Date"/>
    <x:tableColumn id="2" name="Threads"/>
    <x:tableColumn id="3" name="Direct"/>
    <x:tableColumn id="4" name="Sub-agent"/>
    <x:tableColumn id="5" name="Tokens"/>
    <x:tableColumn id="6" name="Avg Tokens / Thread"/>
    <x:tableColumn id="7" name="Active Hours"/>
  </x:tableColumns>
  <x:tableStyleInfo name="TableStyleMedium2" showRowStripes="1"/>
</x:table>
</file>

<file path=xl/tables/table2.xml><?xml version="1.0" encoding="utf-8"?>
<x:table xmlns:x="http://schemas.openxmlformats.org/spreadsheetml/2006/main" id="1" name="CodexUsageLog" displayName="CodexUsageLog" ref="A5:L85" headerRowCount="1">
  <x:tableColumns count="12">
    <x:tableColumn id="1" name="Thread ID"/>
    <x:tableColumn id="2" name="Started"/>
    <x:tableColumn id="3" name="Last Updated"/>
    <x:tableColumn id="4" name="Duration (min)"/>
    <x:tableColumn id="5" name="Type"/>
    <x:tableColumn id="6" name="Interface"/>
    <x:tableColumn id="7" name="Model"/>
    <x:tableColumn id="8" name="Provider"/>
    <x:tableColumn id="9" name="Reasoning"/>
    <x:tableColumn id="10" name="Tokens"/>
    <x:tableColumn id="11" name="Archived"/>
    <x:tableColumn id="12" name="Workspa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4920ff607f4d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cfe56f36a248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50efc0fc954a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0" customHeight="1">
      <x:c r="A1" s="99" t="str">
        <x:v>Codex Usage Dashboard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</x:row>
    <x:row r="2" ht="30" customHeight="1">
      <x:c r="A2" s="99"/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</x:row>
    <x:row r="3" ht="22" customHeight="1">
      <x:c r="A3" s="6" t="str">
        <x:v>Recorded period: 7 May 2026 – 15 Aug 2026 • Source: local Codex thread database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5">
      <x:c r="A5" s="108" t="str">
        <x:v>TOTAL TOKENS</x:v>
      </x:c>
      <x:c r="B5" s="109"/>
      <x:c r="C5" s="110"/>
      <x:c r="D5" s="108" t="str">
        <x:v>THREADS</x:v>
      </x:c>
      <x:c r="E5" s="109"/>
      <x:c r="F5" s="110"/>
      <x:c r="G5" s="108" t="str">
        <x:v>ACTIVE DAYS</x:v>
      </x:c>
      <x:c r="H5" s="109"/>
      <x:c r="I5" s="110"/>
      <x:c r="J5" s="108" t="str">
        <x:v>AVG TOKENS / ACTIVE DAY</x:v>
      </x:c>
      <x:c r="K5" s="109"/>
      <x:c r="L5" s="110"/>
    </x:row>
    <x:row r="6">
      <x:c r="A6" s="131" t="n">
        <x:f>SUM('Daily Usage'!E5:E105)</x:f>
        <x:v>541543984</x:v>
      </x:c>
      <x:c r="B6" s="132"/>
      <x:c r="C6" s="133"/>
      <x:c r="D6" s="149" t="n">
        <x:f>COUNTA('Usage Log'!A6:A85)</x:f>
        <x:v>80</x:v>
      </x:c>
      <x:c r="E6" s="150"/>
      <x:c r="F6" s="151"/>
      <x:c r="G6" s="149" t="n">
        <x:f>COUNTIF('Daily Usage'!B5:B105,"&gt;0")</x:f>
        <x:v>30</x:v>
      </x:c>
      <x:c r="H6" s="150"/>
      <x:c r="I6" s="151"/>
      <x:c r="J6" s="131" t="n">
        <x:f>IF(G6=0,0,A6/G6)</x:f>
        <x:v>18051466.133333333</x:v>
      </x:c>
      <x:c r="K6" s="132"/>
      <x:c r="L6" s="133"/>
    </x:row>
    <x:row r="7">
      <x:c r="A7" s="134"/>
      <x:c r="B7" s="135"/>
      <x:c r="C7" s="136"/>
      <x:c r="D7" s="152"/>
      <x:c r="E7" s="153"/>
      <x:c r="F7" s="154"/>
      <x:c r="G7" s="152"/>
      <x:c r="H7" s="153"/>
      <x:c r="I7" s="154"/>
      <x:c r="J7" s="134"/>
      <x:c r="K7" s="135"/>
      <x:c r="L7" s="136"/>
    </x:row>
    <x:row r="9" ht="25" customHeight="1">
      <x:c r="A9" s="156" t="str">
        <x:v>Daily token usage</x:v>
      </x:c>
      <x:c r="B9" s="156"/>
      <x:c r="C9" s="156"/>
      <x:c r="D9" s="156"/>
      <x:c r="E9" s="156"/>
      <x:c r="F9" s="156"/>
      <x:c r="G9" s="156"/>
      <x:c r="H9" s="156"/>
      <x:c r="I9" s="156"/>
      <x:c r="J9" s="156"/>
      <x:c r="K9" s="156"/>
      <x:c r="L9" s="156"/>
    </x:row>
    <x:row r="32" ht="24" customHeight="1">
      <x:c r="A32" s="156" t="str">
        <x:v>How to read this report</x:v>
      </x:c>
      <x:c r="B32" s="156"/>
      <x:c r="C32" s="156"/>
      <x:c r="D32" s="156"/>
      <x:c r="E32" s="156"/>
      <x:c r="F32" s="156"/>
      <x:c r="G32" s="156"/>
      <x:c r="H32" s="156"/>
      <x:c r="I32" s="156"/>
      <x:c r="J32" s="156"/>
      <x:c r="K32" s="156"/>
      <x:c r="L32" s="156"/>
    </x:row>
    <x:row r="33">
      <x:c r="A33" s="175" t="str">
        <x:v>Each thread’s cumulative token count is assigned to its start date. Direct threads and Codex-created sub-agent threads are both included. Use Daily Usage for the complete calendar series and Usage Log for thread-level detail.</x:v>
      </x:c>
      <x:c r="B33" s="176"/>
      <x:c r="C33" s="176"/>
      <x:c r="D33" s="176"/>
      <x:c r="E33" s="176"/>
      <x:c r="F33" s="176"/>
      <x:c r="G33" s="176"/>
      <x:c r="H33" s="176"/>
      <x:c r="I33" s="176"/>
      <x:c r="J33" s="176"/>
      <x:c r="K33" s="176"/>
      <x:c r="L33" s="177"/>
    </x:row>
    <x:row r="34">
      <x:c r="A34" s="178"/>
      <x:c r="B34" s="179"/>
      <x:c r="C34" s="179"/>
      <x:c r="D34" s="179"/>
      <x:c r="E34" s="179"/>
      <x:c r="F34" s="179"/>
      <x:c r="G34" s="179"/>
      <x:c r="H34" s="179"/>
      <x:c r="I34" s="179"/>
      <x:c r="J34" s="179"/>
      <x:c r="K34" s="179"/>
      <x:c r="L34" s="180"/>
    </x:row>
    <x:row r="35">
      <x:c r="A35" s="178"/>
      <x:c r="B35" s="179"/>
      <x:c r="C35" s="179"/>
      <x:c r="D35" s="179"/>
      <x:c r="E35" s="179"/>
      <x:c r="F35" s="179"/>
      <x:c r="G35" s="179"/>
      <x:c r="H35" s="179"/>
      <x:c r="I35" s="179"/>
      <x:c r="J35" s="179"/>
      <x:c r="K35" s="179"/>
      <x:c r="L35" s="180"/>
    </x:row>
    <x:row r="36">
      <x:c r="A36" s="181"/>
      <x:c r="B36" s="182"/>
      <x:c r="C36" s="182"/>
      <x:c r="D36" s="182"/>
      <x:c r="E36" s="182"/>
      <x:c r="F36" s="182"/>
      <x:c r="G36" s="182"/>
      <x:c r="H36" s="182"/>
      <x:c r="I36" s="182"/>
      <x:c r="J36" s="182"/>
      <x:c r="K36" s="182"/>
      <x:c r="L36" s="183"/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L9"/>
    <x:mergeCell ref="A32:L32"/>
    <x:mergeCell ref="A33:L36"/>
  </x:mergeCells>
  <x:pageMargins left="0.7" right="0.7" top="0.75" bottom="0.75" header="0.3" footer="0.3"/>
  <x:drawing xmlns:r="http://schemas.openxmlformats.org/officeDocument/2006/relationships" r:id="Rb14920ff607f4d1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20" hidden="0" customWidth="1"/>
    <x:col min="6" max="6" width="20" hidden="0" customWidth="1"/>
    <x:col min="7" max="7" width="14" hidden="0" customWidth="1"/>
    <x:col min="8" max="8" width="12" hidden="0" customWidth="1"/>
    <x:col min="9" max="9" width="17" hidden="0" customWidth="1"/>
  </x:cols>
  <x:sheetData>
    <x:row r="1" ht="34" customHeight="1">
      <x:c r="A1" s="4" t="str">
        <x:v>Daily Codex Usage</x:v>
      </x:c>
      <x:c r="B1" s="4"/>
      <x:c r="C1" s="4"/>
      <x:c r="D1" s="4"/>
      <x:c r="E1" s="4"/>
      <x:c r="F1" s="4"/>
      <x:c r="G1" s="4"/>
    </x:row>
    <x:row r="2" ht="22" customHeight="1">
      <x:c r="A2" s="6" t="str">
        <x:v>Includes every calendar day in the recorded period, including zero-usage days.</x:v>
      </x:c>
      <x:c r="B2" s="6"/>
      <x:c r="C2" s="6"/>
      <x:c r="D2" s="6"/>
      <x:c r="E2" s="6"/>
      <x:c r="F2" s="6"/>
      <x:c r="G2" s="6"/>
    </x:row>
    <x:row r="4" ht="28" customHeight="1">
      <x:c r="A4" s="13" t="str">
        <x:v>Date</x:v>
      </x:c>
      <x:c r="B4" s="13" t="str">
        <x:v>Threads</x:v>
      </x:c>
      <x:c r="C4" s="13" t="str">
        <x:v>Direct</x:v>
      </x:c>
      <x:c r="D4" s="13" t="str">
        <x:v>Sub-agent</x:v>
      </x:c>
      <x:c r="E4" s="13" t="str">
        <x:v>Tokens</x:v>
      </x:c>
      <x:c r="F4" s="13" t="str">
        <x:v>Avg Tokens / Thread</x:v>
      </x:c>
      <x:c r="G4" s="13" t="str">
        <x:v>Active Hours</x:v>
      </x:c>
      <x:c r="H4" s="86" t="str">
        <x:v>Chart Date</x:v>
      </x:c>
      <x:c r="I4" s="86" t="str">
        <x:v>Chart Tokens</x:v>
      </x:c>
    </x:row>
    <x:row r="5">
      <x:c r="A5" s="73" t="n">
        <x:v>46149</x:v>
      </x:c>
      <x:c r="B5" s="74" t="n">
        <x:f>COUNTIFS('Usage Log'!$B$6:$B$85,"&gt;="&amp;A5,'Usage Log'!$B$6:$B$85,"&lt;"&amp;A5+1)</x:f>
        <x:v>1</x:v>
      </x:c>
      <x:c r="C5" s="74" t="n">
        <x:f>COUNTIFS('Usage Log'!$B$6:$B$85,"&gt;="&amp;A5,'Usage Log'!$B$6:$B$85,"&lt;"&amp;A5+1,'Usage Log'!$E$6:$E$85,"Direct")</x:f>
        <x:v>1</x:v>
      </x:c>
      <x:c r="D5" s="74" t="n">
        <x:f>COUNTIFS('Usage Log'!$B$6:$B$85,"&gt;="&amp;A5,'Usage Log'!$B$6:$B$85,"&lt;"&amp;A5+1,'Usage Log'!$E$6:$E$85,"Sub-agent")</x:f>
        <x:v>0</x:v>
      </x:c>
      <x:c r="E5" s="75" t="n">
        <x:f>SUMIFS('Usage Log'!$J$6:$J$85,'Usage Log'!$B$6:$B$85,"&gt;="&amp;A5,'Usage Log'!$B$6:$B$85,"&lt;"&amp;A5+1)</x:f>
        <x:v>8760</x:v>
      </x:c>
      <x:c r="F5" s="75" t="n">
        <x:f>IF(B5=0,0,E5/B5)</x:f>
        <x:v>8760</x:v>
      </x:c>
      <x:c r="G5" s="76" t="n">
        <x:f>SUMIFS('Usage Log'!$D$6:$D$85,'Usage Log'!$B$6:$B$85,"&gt;="&amp;A5,'Usage Log'!$B$6:$B$85,"&lt;"&amp;A5+1)/60</x:f>
        <x:v>0.006944444321561605</x:v>
      </x:c>
      <x:c r="H5" s="88" t="str">
        <x:v>07 May</x:v>
      </x:c>
      <x:c r="I5" s="94" t="n">
        <x:f>E5</x:f>
        <x:v>8760</x:v>
      </x:c>
    </x:row>
    <x:row r="6">
      <x:c r="A6" s="62" t="n">
        <x:v>46150</x:v>
      </x:c>
      <x:c r="B6" s="65" t="n">
        <x:f>COUNTIFS('Usage Log'!$B$6:$B$85,"&gt;="&amp;A6,'Usage Log'!$B$6:$B$85,"&lt;"&amp;A6+1)</x:f>
        <x:v>0</x:v>
      </x:c>
      <x:c r="C6" s="65" t="n">
        <x:f>COUNTIFS('Usage Log'!$B$6:$B$85,"&gt;="&amp;A6,'Usage Log'!$B$6:$B$85,"&lt;"&amp;A6+1,'Usage Log'!$E$6:$E$85,"Direct")</x:f>
        <x:v>0</x:v>
      </x:c>
      <x:c r="D6" s="65" t="n">
        <x:f>COUNTIFS('Usage Log'!$B$6:$B$85,"&gt;="&amp;A6,'Usage Log'!$B$6:$B$85,"&lt;"&amp;A6+1,'Usage Log'!$E$6:$E$85,"Sub-agent")</x:f>
        <x:v>0</x:v>
      </x:c>
      <x:c r="E6" s="68" t="n">
        <x:f>SUMIFS('Usage Log'!$J$6:$J$85,'Usage Log'!$B$6:$B$85,"&gt;="&amp;A6,'Usage Log'!$B$6:$B$85,"&lt;"&amp;A6+1)</x:f>
        <x:v>0</x:v>
      </x:c>
      <x:c r="F6" s="68" t="n">
        <x:f>IF(B6=0,0,E6/B6)</x:f>
        <x:v>0</x:v>
      </x:c>
      <x:c r="G6" s="71" t="n">
        <x:f>SUMIFS('Usage Log'!$D$6:$D$85,'Usage Log'!$B$6:$B$85,"&gt;="&amp;A6,'Usage Log'!$B$6:$B$85,"&lt;"&amp;A6+1)/60</x:f>
        <x:v>0</x:v>
      </x:c>
      <x:c r="H6" s="90" t="str">
        <x:v>08 May</x:v>
      </x:c>
      <x:c r="I6" s="95" t="n">
        <x:f>E6</x:f>
        <x:v>0</x:v>
      </x:c>
    </x:row>
    <x:row r="7">
      <x:c r="A7" s="77" t="n">
        <x:v>46151</x:v>
      </x:c>
      <x:c r="B7" s="78" t="n">
        <x:f>COUNTIFS('Usage Log'!$B$6:$B$85,"&gt;="&amp;A7,'Usage Log'!$B$6:$B$85,"&lt;"&amp;A7+1)</x:f>
        <x:v>0</x:v>
      </x:c>
      <x:c r="C7" s="78" t="n">
        <x:f>COUNTIFS('Usage Log'!$B$6:$B$85,"&gt;="&amp;A7,'Usage Log'!$B$6:$B$85,"&lt;"&amp;A7+1,'Usage Log'!$E$6:$E$85,"Direct")</x:f>
        <x:v>0</x:v>
      </x:c>
      <x:c r="D7" s="78" t="n">
        <x:f>COUNTIFS('Usage Log'!$B$6:$B$85,"&gt;="&amp;A7,'Usage Log'!$B$6:$B$85,"&lt;"&amp;A7+1,'Usage Log'!$E$6:$E$85,"Sub-agent")</x:f>
        <x:v>0</x:v>
      </x:c>
      <x:c r="E7" s="79" t="n">
        <x:f>SUMIFS('Usage Log'!$J$6:$J$85,'Usage Log'!$B$6:$B$85,"&gt;="&amp;A7,'Usage Log'!$B$6:$B$85,"&lt;"&amp;A7+1)</x:f>
        <x:v>0</x:v>
      </x:c>
      <x:c r="F7" s="79" t="n">
        <x:f>IF(B7=0,0,E7/B7)</x:f>
        <x:v>0</x:v>
      </x:c>
      <x:c r="G7" s="80" t="n">
        <x:f>SUMIFS('Usage Log'!$D$6:$D$85,'Usage Log'!$B$6:$B$85,"&gt;="&amp;A7,'Usage Log'!$B$6:$B$85,"&lt;"&amp;A7+1)/60</x:f>
        <x:v>0</x:v>
      </x:c>
      <x:c r="H7" s="90" t="str">
        <x:v>09 May</x:v>
      </x:c>
      <x:c r="I7" s="95" t="n">
        <x:f>E7</x:f>
        <x:v>0</x:v>
      </x:c>
    </x:row>
    <x:row r="8">
      <x:c r="A8" s="62" t="n">
        <x:v>46152</x:v>
      </x:c>
      <x:c r="B8" s="65" t="n">
        <x:f>COUNTIFS('Usage Log'!$B$6:$B$85,"&gt;="&amp;A8,'Usage Log'!$B$6:$B$85,"&lt;"&amp;A8+1)</x:f>
        <x:v>0</x:v>
      </x:c>
      <x:c r="C8" s="65" t="n">
        <x:f>COUNTIFS('Usage Log'!$B$6:$B$85,"&gt;="&amp;A8,'Usage Log'!$B$6:$B$85,"&lt;"&amp;A8+1,'Usage Log'!$E$6:$E$85,"Direct")</x:f>
        <x:v>0</x:v>
      </x:c>
      <x:c r="D8" s="65" t="n">
        <x:f>COUNTIFS('Usage Log'!$B$6:$B$85,"&gt;="&amp;A8,'Usage Log'!$B$6:$B$85,"&lt;"&amp;A8+1,'Usage Log'!$E$6:$E$85,"Sub-agent")</x:f>
        <x:v>0</x:v>
      </x:c>
      <x:c r="E8" s="68" t="n">
        <x:f>SUMIFS('Usage Log'!$J$6:$J$85,'Usage Log'!$B$6:$B$85,"&gt;="&amp;A8,'Usage Log'!$B$6:$B$85,"&lt;"&amp;A8+1)</x:f>
        <x:v>0</x:v>
      </x:c>
      <x:c r="F8" s="68" t="n">
        <x:f>IF(B8=0,0,E8/B8)</x:f>
        <x:v>0</x:v>
      </x:c>
      <x:c r="G8" s="71" t="n">
        <x:f>SUMIFS('Usage Log'!$D$6:$D$85,'Usage Log'!$B$6:$B$85,"&gt;="&amp;A8,'Usage Log'!$B$6:$B$85,"&lt;"&amp;A8+1)/60</x:f>
        <x:v>0</x:v>
      </x:c>
      <x:c r="H8" s="90" t="str">
        <x:v>10 May</x:v>
      </x:c>
      <x:c r="I8" s="95" t="n">
        <x:f>E8</x:f>
        <x:v>0</x:v>
      </x:c>
    </x:row>
    <x:row r="9">
      <x:c r="A9" s="77" t="n">
        <x:v>46153</x:v>
      </x:c>
      <x:c r="B9" s="78" t="n">
        <x:f>COUNTIFS('Usage Log'!$B$6:$B$85,"&gt;="&amp;A9,'Usage Log'!$B$6:$B$85,"&lt;"&amp;A9+1)</x:f>
        <x:v>0</x:v>
      </x:c>
      <x:c r="C9" s="78" t="n">
        <x:f>COUNTIFS('Usage Log'!$B$6:$B$85,"&gt;="&amp;A9,'Usage Log'!$B$6:$B$85,"&lt;"&amp;A9+1,'Usage Log'!$E$6:$E$85,"Direct")</x:f>
        <x:v>0</x:v>
      </x:c>
      <x:c r="D9" s="78" t="n">
        <x:f>COUNTIFS('Usage Log'!$B$6:$B$85,"&gt;="&amp;A9,'Usage Log'!$B$6:$B$85,"&lt;"&amp;A9+1,'Usage Log'!$E$6:$E$85,"Sub-agent")</x:f>
        <x:v>0</x:v>
      </x:c>
      <x:c r="E9" s="79" t="n">
        <x:f>SUMIFS('Usage Log'!$J$6:$J$85,'Usage Log'!$B$6:$B$85,"&gt;="&amp;A9,'Usage Log'!$B$6:$B$85,"&lt;"&amp;A9+1)</x:f>
        <x:v>0</x:v>
      </x:c>
      <x:c r="F9" s="79" t="n">
        <x:f>IF(B9=0,0,E9/B9)</x:f>
        <x:v>0</x:v>
      </x:c>
      <x:c r="G9" s="80" t="n">
        <x:f>SUMIFS('Usage Log'!$D$6:$D$85,'Usage Log'!$B$6:$B$85,"&gt;="&amp;A9,'Usage Log'!$B$6:$B$85,"&lt;"&amp;A9+1)/60</x:f>
        <x:v>0</x:v>
      </x:c>
      <x:c r="H9" s="90" t="str">
        <x:v>11 May</x:v>
      </x:c>
      <x:c r="I9" s="95" t="n">
        <x:f>E9</x:f>
        <x:v>0</x:v>
      </x:c>
    </x:row>
    <x:row r="10">
      <x:c r="A10" s="62" t="n">
        <x:v>46154</x:v>
      </x:c>
      <x:c r="B10" s="65" t="n">
        <x:f>COUNTIFS('Usage Log'!$B$6:$B$85,"&gt;="&amp;A10,'Usage Log'!$B$6:$B$85,"&lt;"&amp;A10+1)</x:f>
        <x:v>0</x:v>
      </x:c>
      <x:c r="C10" s="65" t="n">
        <x:f>COUNTIFS('Usage Log'!$B$6:$B$85,"&gt;="&amp;A10,'Usage Log'!$B$6:$B$85,"&lt;"&amp;A10+1,'Usage Log'!$E$6:$E$85,"Direct")</x:f>
        <x:v>0</x:v>
      </x:c>
      <x:c r="D10" s="65" t="n">
        <x:f>COUNTIFS('Usage Log'!$B$6:$B$85,"&gt;="&amp;A10,'Usage Log'!$B$6:$B$85,"&lt;"&amp;A10+1,'Usage Log'!$E$6:$E$85,"Sub-agent")</x:f>
        <x:v>0</x:v>
      </x:c>
      <x:c r="E10" s="68" t="n">
        <x:f>SUMIFS('Usage Log'!$J$6:$J$85,'Usage Log'!$B$6:$B$85,"&gt;="&amp;A10,'Usage Log'!$B$6:$B$85,"&lt;"&amp;A10+1)</x:f>
        <x:v>0</x:v>
      </x:c>
      <x:c r="F10" s="68" t="n">
        <x:f>IF(B10=0,0,E10/B10)</x:f>
        <x:v>0</x:v>
      </x:c>
      <x:c r="G10" s="71" t="n">
        <x:f>SUMIFS('Usage Log'!$D$6:$D$85,'Usage Log'!$B$6:$B$85,"&gt;="&amp;A10,'Usage Log'!$B$6:$B$85,"&lt;"&amp;A10+1)/60</x:f>
        <x:v>0</x:v>
      </x:c>
      <x:c r="H10" s="90" t="str">
        <x:v>12 May</x:v>
      </x:c>
      <x:c r="I10" s="95" t="n">
        <x:f>E10</x:f>
        <x:v>0</x:v>
      </x:c>
    </x:row>
    <x:row r="11">
      <x:c r="A11" s="77" t="n">
        <x:v>46155</x:v>
      </x:c>
      <x:c r="B11" s="78" t="n">
        <x:f>COUNTIFS('Usage Log'!$B$6:$B$85,"&gt;="&amp;A11,'Usage Log'!$B$6:$B$85,"&lt;"&amp;A11+1)</x:f>
        <x:v>0</x:v>
      </x:c>
      <x:c r="C11" s="78" t="n">
        <x:f>COUNTIFS('Usage Log'!$B$6:$B$85,"&gt;="&amp;A11,'Usage Log'!$B$6:$B$85,"&lt;"&amp;A11+1,'Usage Log'!$E$6:$E$85,"Direct")</x:f>
        <x:v>0</x:v>
      </x:c>
      <x:c r="D11" s="78" t="n">
        <x:f>COUNTIFS('Usage Log'!$B$6:$B$85,"&gt;="&amp;A11,'Usage Log'!$B$6:$B$85,"&lt;"&amp;A11+1,'Usage Log'!$E$6:$E$85,"Sub-agent")</x:f>
        <x:v>0</x:v>
      </x:c>
      <x:c r="E11" s="79" t="n">
        <x:f>SUMIFS('Usage Log'!$J$6:$J$85,'Usage Log'!$B$6:$B$85,"&gt;="&amp;A11,'Usage Log'!$B$6:$B$85,"&lt;"&amp;A11+1)</x:f>
        <x:v>0</x:v>
      </x:c>
      <x:c r="F11" s="79" t="n">
        <x:f>IF(B11=0,0,E11/B11)</x:f>
        <x:v>0</x:v>
      </x:c>
      <x:c r="G11" s="80" t="n">
        <x:f>SUMIFS('Usage Log'!$D$6:$D$85,'Usage Log'!$B$6:$B$85,"&gt;="&amp;A11,'Usage Log'!$B$6:$B$85,"&lt;"&amp;A11+1)/60</x:f>
        <x:v>0</x:v>
      </x:c>
      <x:c r="H11" s="90" t="str">
        <x:v>13 May</x:v>
      </x:c>
      <x:c r="I11" s="95" t="n">
        <x:f>E11</x:f>
        <x:v>0</x:v>
      </x:c>
    </x:row>
    <x:row r="12">
      <x:c r="A12" s="62" t="n">
        <x:v>46156</x:v>
      </x:c>
      <x:c r="B12" s="65" t="n">
        <x:f>COUNTIFS('Usage Log'!$B$6:$B$85,"&gt;="&amp;A12,'Usage Log'!$B$6:$B$85,"&lt;"&amp;A12+1)</x:f>
        <x:v>0</x:v>
      </x:c>
      <x:c r="C12" s="65" t="n">
        <x:f>COUNTIFS('Usage Log'!$B$6:$B$85,"&gt;="&amp;A12,'Usage Log'!$B$6:$B$85,"&lt;"&amp;A12+1,'Usage Log'!$E$6:$E$85,"Direct")</x:f>
        <x:v>0</x:v>
      </x:c>
      <x:c r="D12" s="65" t="n">
        <x:f>COUNTIFS('Usage Log'!$B$6:$B$85,"&gt;="&amp;A12,'Usage Log'!$B$6:$B$85,"&lt;"&amp;A12+1,'Usage Log'!$E$6:$E$85,"Sub-agent")</x:f>
        <x:v>0</x:v>
      </x:c>
      <x:c r="E12" s="68" t="n">
        <x:f>SUMIFS('Usage Log'!$J$6:$J$85,'Usage Log'!$B$6:$B$85,"&gt;="&amp;A12,'Usage Log'!$B$6:$B$85,"&lt;"&amp;A12+1)</x:f>
        <x:v>0</x:v>
      </x:c>
      <x:c r="F12" s="68" t="n">
        <x:f>IF(B12=0,0,E12/B12)</x:f>
        <x:v>0</x:v>
      </x:c>
      <x:c r="G12" s="71" t="n">
        <x:f>SUMIFS('Usage Log'!$D$6:$D$85,'Usage Log'!$B$6:$B$85,"&gt;="&amp;A12,'Usage Log'!$B$6:$B$85,"&lt;"&amp;A12+1)/60</x:f>
        <x:v>0</x:v>
      </x:c>
      <x:c r="H12" s="90" t="str">
        <x:v>14 May</x:v>
      </x:c>
      <x:c r="I12" s="95" t="n">
        <x:f>E12</x:f>
        <x:v>0</x:v>
      </x:c>
    </x:row>
    <x:row r="13">
      <x:c r="A13" s="77" t="n">
        <x:v>46157</x:v>
      </x:c>
      <x:c r="B13" s="78" t="n">
        <x:f>COUNTIFS('Usage Log'!$B$6:$B$85,"&gt;="&amp;A13,'Usage Log'!$B$6:$B$85,"&lt;"&amp;A13+1)</x:f>
        <x:v>0</x:v>
      </x:c>
      <x:c r="C13" s="78" t="n">
        <x:f>COUNTIFS('Usage Log'!$B$6:$B$85,"&gt;="&amp;A13,'Usage Log'!$B$6:$B$85,"&lt;"&amp;A13+1,'Usage Log'!$E$6:$E$85,"Direct")</x:f>
        <x:v>0</x:v>
      </x:c>
      <x:c r="D13" s="78" t="n">
        <x:f>COUNTIFS('Usage Log'!$B$6:$B$85,"&gt;="&amp;A13,'Usage Log'!$B$6:$B$85,"&lt;"&amp;A13+1,'Usage Log'!$E$6:$E$85,"Sub-agent")</x:f>
        <x:v>0</x:v>
      </x:c>
      <x:c r="E13" s="79" t="n">
        <x:f>SUMIFS('Usage Log'!$J$6:$J$85,'Usage Log'!$B$6:$B$85,"&gt;="&amp;A13,'Usage Log'!$B$6:$B$85,"&lt;"&amp;A13+1)</x:f>
        <x:v>0</x:v>
      </x:c>
      <x:c r="F13" s="79" t="n">
        <x:f>IF(B13=0,0,E13/B13)</x:f>
        <x:v>0</x:v>
      </x:c>
      <x:c r="G13" s="80" t="n">
        <x:f>SUMIFS('Usage Log'!$D$6:$D$85,'Usage Log'!$B$6:$B$85,"&gt;="&amp;A13,'Usage Log'!$B$6:$B$85,"&lt;"&amp;A13+1)/60</x:f>
        <x:v>0</x:v>
      </x:c>
      <x:c r="H13" s="90" t="str">
        <x:v>15 May</x:v>
      </x:c>
      <x:c r="I13" s="95" t="n">
        <x:f>E13</x:f>
        <x:v>0</x:v>
      </x:c>
    </x:row>
    <x:row r="14">
      <x:c r="A14" s="62" t="n">
        <x:v>46158</x:v>
      </x:c>
      <x:c r="B14" s="65" t="n">
        <x:f>COUNTIFS('Usage Log'!$B$6:$B$85,"&gt;="&amp;A14,'Usage Log'!$B$6:$B$85,"&lt;"&amp;A14+1)</x:f>
        <x:v>0</x:v>
      </x:c>
      <x:c r="C14" s="65" t="n">
        <x:f>COUNTIFS('Usage Log'!$B$6:$B$85,"&gt;="&amp;A14,'Usage Log'!$B$6:$B$85,"&lt;"&amp;A14+1,'Usage Log'!$E$6:$E$85,"Direct")</x:f>
        <x:v>0</x:v>
      </x:c>
      <x:c r="D14" s="65" t="n">
        <x:f>COUNTIFS('Usage Log'!$B$6:$B$85,"&gt;="&amp;A14,'Usage Log'!$B$6:$B$85,"&lt;"&amp;A14+1,'Usage Log'!$E$6:$E$85,"Sub-agent")</x:f>
        <x:v>0</x:v>
      </x:c>
      <x:c r="E14" s="68" t="n">
        <x:f>SUMIFS('Usage Log'!$J$6:$J$85,'Usage Log'!$B$6:$B$85,"&gt;="&amp;A14,'Usage Log'!$B$6:$B$85,"&lt;"&amp;A14+1)</x:f>
        <x:v>0</x:v>
      </x:c>
      <x:c r="F14" s="68" t="n">
        <x:f>IF(B14=0,0,E14/B14)</x:f>
        <x:v>0</x:v>
      </x:c>
      <x:c r="G14" s="71" t="n">
        <x:f>SUMIFS('Usage Log'!$D$6:$D$85,'Usage Log'!$B$6:$B$85,"&gt;="&amp;A14,'Usage Log'!$B$6:$B$85,"&lt;"&amp;A14+1)/60</x:f>
        <x:v>0</x:v>
      </x:c>
      <x:c r="H14" s="90" t="str">
        <x:v>16 May</x:v>
      </x:c>
      <x:c r="I14" s="95" t="n">
        <x:f>E14</x:f>
        <x:v>0</x:v>
      </x:c>
    </x:row>
    <x:row r="15">
      <x:c r="A15" s="77" t="n">
        <x:v>46159</x:v>
      </x:c>
      <x:c r="B15" s="78" t="n">
        <x:f>COUNTIFS('Usage Log'!$B$6:$B$85,"&gt;="&amp;A15,'Usage Log'!$B$6:$B$85,"&lt;"&amp;A15+1)</x:f>
        <x:v>0</x:v>
      </x:c>
      <x:c r="C15" s="78" t="n">
        <x:f>COUNTIFS('Usage Log'!$B$6:$B$85,"&gt;="&amp;A15,'Usage Log'!$B$6:$B$85,"&lt;"&amp;A15+1,'Usage Log'!$E$6:$E$85,"Direct")</x:f>
        <x:v>0</x:v>
      </x:c>
      <x:c r="D15" s="78" t="n">
        <x:f>COUNTIFS('Usage Log'!$B$6:$B$85,"&gt;="&amp;A15,'Usage Log'!$B$6:$B$85,"&lt;"&amp;A15+1,'Usage Log'!$E$6:$E$85,"Sub-agent")</x:f>
        <x:v>0</x:v>
      </x:c>
      <x:c r="E15" s="79" t="n">
        <x:f>SUMIFS('Usage Log'!$J$6:$J$85,'Usage Log'!$B$6:$B$85,"&gt;="&amp;A15,'Usage Log'!$B$6:$B$85,"&lt;"&amp;A15+1)</x:f>
        <x:v>0</x:v>
      </x:c>
      <x:c r="F15" s="79" t="n">
        <x:f>IF(B15=0,0,E15/B15)</x:f>
        <x:v>0</x:v>
      </x:c>
      <x:c r="G15" s="80" t="n">
        <x:f>SUMIFS('Usage Log'!$D$6:$D$85,'Usage Log'!$B$6:$B$85,"&gt;="&amp;A15,'Usage Log'!$B$6:$B$85,"&lt;"&amp;A15+1)/60</x:f>
        <x:v>0</x:v>
      </x:c>
      <x:c r="H15" s="90" t="str">
        <x:v>17 May</x:v>
      </x:c>
      <x:c r="I15" s="95" t="n">
        <x:f>E15</x:f>
        <x:v>0</x:v>
      </x:c>
    </x:row>
    <x:row r="16">
      <x:c r="A16" s="62" t="n">
        <x:v>46160</x:v>
      </x:c>
      <x:c r="B16" s="65" t="n">
        <x:f>COUNTIFS('Usage Log'!$B$6:$B$85,"&gt;="&amp;A16,'Usage Log'!$B$6:$B$85,"&lt;"&amp;A16+1)</x:f>
        <x:v>0</x:v>
      </x:c>
      <x:c r="C16" s="65" t="n">
        <x:f>COUNTIFS('Usage Log'!$B$6:$B$85,"&gt;="&amp;A16,'Usage Log'!$B$6:$B$85,"&lt;"&amp;A16+1,'Usage Log'!$E$6:$E$85,"Direct")</x:f>
        <x:v>0</x:v>
      </x:c>
      <x:c r="D16" s="65" t="n">
        <x:f>COUNTIFS('Usage Log'!$B$6:$B$85,"&gt;="&amp;A16,'Usage Log'!$B$6:$B$85,"&lt;"&amp;A16+1,'Usage Log'!$E$6:$E$85,"Sub-agent")</x:f>
        <x:v>0</x:v>
      </x:c>
      <x:c r="E16" s="68" t="n">
        <x:f>SUMIFS('Usage Log'!$J$6:$J$85,'Usage Log'!$B$6:$B$85,"&gt;="&amp;A16,'Usage Log'!$B$6:$B$85,"&lt;"&amp;A16+1)</x:f>
        <x:v>0</x:v>
      </x:c>
      <x:c r="F16" s="68" t="n">
        <x:f>IF(B16=0,0,E16/B16)</x:f>
        <x:v>0</x:v>
      </x:c>
      <x:c r="G16" s="71" t="n">
        <x:f>SUMIFS('Usage Log'!$D$6:$D$85,'Usage Log'!$B$6:$B$85,"&gt;="&amp;A16,'Usage Log'!$B$6:$B$85,"&lt;"&amp;A16+1)/60</x:f>
        <x:v>0</x:v>
      </x:c>
      <x:c r="H16" s="90" t="str">
        <x:v>18 May</x:v>
      </x:c>
      <x:c r="I16" s="95" t="n">
        <x:f>E16</x:f>
        <x:v>0</x:v>
      </x:c>
    </x:row>
    <x:row r="17">
      <x:c r="A17" s="77" t="n">
        <x:v>46161</x:v>
      </x:c>
      <x:c r="B17" s="78" t="n">
        <x:f>COUNTIFS('Usage Log'!$B$6:$B$85,"&gt;="&amp;A17,'Usage Log'!$B$6:$B$85,"&lt;"&amp;A17+1)</x:f>
        <x:v>0</x:v>
      </x:c>
      <x:c r="C17" s="78" t="n">
        <x:f>COUNTIFS('Usage Log'!$B$6:$B$85,"&gt;="&amp;A17,'Usage Log'!$B$6:$B$85,"&lt;"&amp;A17+1,'Usage Log'!$E$6:$E$85,"Direct")</x:f>
        <x:v>0</x:v>
      </x:c>
      <x:c r="D17" s="78" t="n">
        <x:f>COUNTIFS('Usage Log'!$B$6:$B$85,"&gt;="&amp;A17,'Usage Log'!$B$6:$B$85,"&lt;"&amp;A17+1,'Usage Log'!$E$6:$E$85,"Sub-agent")</x:f>
        <x:v>0</x:v>
      </x:c>
      <x:c r="E17" s="79" t="n">
        <x:f>SUMIFS('Usage Log'!$J$6:$J$85,'Usage Log'!$B$6:$B$85,"&gt;="&amp;A17,'Usage Log'!$B$6:$B$85,"&lt;"&amp;A17+1)</x:f>
        <x:v>0</x:v>
      </x:c>
      <x:c r="F17" s="79" t="n">
        <x:f>IF(B17=0,0,E17/B17)</x:f>
        <x:v>0</x:v>
      </x:c>
      <x:c r="G17" s="80" t="n">
        <x:f>SUMIFS('Usage Log'!$D$6:$D$85,'Usage Log'!$B$6:$B$85,"&gt;="&amp;A17,'Usage Log'!$B$6:$B$85,"&lt;"&amp;A17+1)/60</x:f>
        <x:v>0</x:v>
      </x:c>
      <x:c r="H17" s="90" t="str">
        <x:v>19 May</x:v>
      </x:c>
      <x:c r="I17" s="95" t="n">
        <x:f>E17</x:f>
        <x:v>0</x:v>
      </x:c>
    </x:row>
    <x:row r="18">
      <x:c r="A18" s="62" t="n">
        <x:v>46162</x:v>
      </x:c>
      <x:c r="B18" s="65" t="n">
        <x:f>COUNTIFS('Usage Log'!$B$6:$B$85,"&gt;="&amp;A18,'Usage Log'!$B$6:$B$85,"&lt;"&amp;A18+1)</x:f>
        <x:v>0</x:v>
      </x:c>
      <x:c r="C18" s="65" t="n">
        <x:f>COUNTIFS('Usage Log'!$B$6:$B$85,"&gt;="&amp;A18,'Usage Log'!$B$6:$B$85,"&lt;"&amp;A18+1,'Usage Log'!$E$6:$E$85,"Direct")</x:f>
        <x:v>0</x:v>
      </x:c>
      <x:c r="D18" s="65" t="n">
        <x:f>COUNTIFS('Usage Log'!$B$6:$B$85,"&gt;="&amp;A18,'Usage Log'!$B$6:$B$85,"&lt;"&amp;A18+1,'Usage Log'!$E$6:$E$85,"Sub-agent")</x:f>
        <x:v>0</x:v>
      </x:c>
      <x:c r="E18" s="68" t="n">
        <x:f>SUMIFS('Usage Log'!$J$6:$J$85,'Usage Log'!$B$6:$B$85,"&gt;="&amp;A18,'Usage Log'!$B$6:$B$85,"&lt;"&amp;A18+1)</x:f>
        <x:v>0</x:v>
      </x:c>
      <x:c r="F18" s="68" t="n">
        <x:f>IF(B18=0,0,E18/B18)</x:f>
        <x:v>0</x:v>
      </x:c>
      <x:c r="G18" s="71" t="n">
        <x:f>SUMIFS('Usage Log'!$D$6:$D$85,'Usage Log'!$B$6:$B$85,"&gt;="&amp;A18,'Usage Log'!$B$6:$B$85,"&lt;"&amp;A18+1)/60</x:f>
        <x:v>0</x:v>
      </x:c>
      <x:c r="H18" s="90" t="str">
        <x:v>20 May</x:v>
      </x:c>
      <x:c r="I18" s="95" t="n">
        <x:f>E18</x:f>
        <x:v>0</x:v>
      </x:c>
    </x:row>
    <x:row r="19">
      <x:c r="A19" s="77" t="n">
        <x:v>46163</x:v>
      </x:c>
      <x:c r="B19" s="78" t="n">
        <x:f>COUNTIFS('Usage Log'!$B$6:$B$85,"&gt;="&amp;A19,'Usage Log'!$B$6:$B$85,"&lt;"&amp;A19+1)</x:f>
        <x:v>0</x:v>
      </x:c>
      <x:c r="C19" s="78" t="n">
        <x:f>COUNTIFS('Usage Log'!$B$6:$B$85,"&gt;="&amp;A19,'Usage Log'!$B$6:$B$85,"&lt;"&amp;A19+1,'Usage Log'!$E$6:$E$85,"Direct")</x:f>
        <x:v>0</x:v>
      </x:c>
      <x:c r="D19" s="78" t="n">
        <x:f>COUNTIFS('Usage Log'!$B$6:$B$85,"&gt;="&amp;A19,'Usage Log'!$B$6:$B$85,"&lt;"&amp;A19+1,'Usage Log'!$E$6:$E$85,"Sub-agent")</x:f>
        <x:v>0</x:v>
      </x:c>
      <x:c r="E19" s="79" t="n">
        <x:f>SUMIFS('Usage Log'!$J$6:$J$85,'Usage Log'!$B$6:$B$85,"&gt;="&amp;A19,'Usage Log'!$B$6:$B$85,"&lt;"&amp;A19+1)</x:f>
        <x:v>0</x:v>
      </x:c>
      <x:c r="F19" s="79" t="n">
        <x:f>IF(B19=0,0,E19/B19)</x:f>
        <x:v>0</x:v>
      </x:c>
      <x:c r="G19" s="80" t="n">
        <x:f>SUMIFS('Usage Log'!$D$6:$D$85,'Usage Log'!$B$6:$B$85,"&gt;="&amp;A19,'Usage Log'!$B$6:$B$85,"&lt;"&amp;A19+1)/60</x:f>
        <x:v>0</x:v>
      </x:c>
      <x:c r="H19" s="90" t="str">
        <x:v>21 May</x:v>
      </x:c>
      <x:c r="I19" s="95" t="n">
        <x:f>E19</x:f>
        <x:v>0</x:v>
      </x:c>
    </x:row>
    <x:row r="20">
      <x:c r="A20" s="62" t="n">
        <x:v>46164</x:v>
      </x:c>
      <x:c r="B20" s="65" t="n">
        <x:f>COUNTIFS('Usage Log'!$B$6:$B$85,"&gt;="&amp;A20,'Usage Log'!$B$6:$B$85,"&lt;"&amp;A20+1)</x:f>
        <x:v>0</x:v>
      </x:c>
      <x:c r="C20" s="65" t="n">
        <x:f>COUNTIFS('Usage Log'!$B$6:$B$85,"&gt;="&amp;A20,'Usage Log'!$B$6:$B$85,"&lt;"&amp;A20+1,'Usage Log'!$E$6:$E$85,"Direct")</x:f>
        <x:v>0</x:v>
      </x:c>
      <x:c r="D20" s="65" t="n">
        <x:f>COUNTIFS('Usage Log'!$B$6:$B$85,"&gt;="&amp;A20,'Usage Log'!$B$6:$B$85,"&lt;"&amp;A20+1,'Usage Log'!$E$6:$E$85,"Sub-agent")</x:f>
        <x:v>0</x:v>
      </x:c>
      <x:c r="E20" s="68" t="n">
        <x:f>SUMIFS('Usage Log'!$J$6:$J$85,'Usage Log'!$B$6:$B$85,"&gt;="&amp;A20,'Usage Log'!$B$6:$B$85,"&lt;"&amp;A20+1)</x:f>
        <x:v>0</x:v>
      </x:c>
      <x:c r="F20" s="68" t="n">
        <x:f>IF(B20=0,0,E20/B20)</x:f>
        <x:v>0</x:v>
      </x:c>
      <x:c r="G20" s="71" t="n">
        <x:f>SUMIFS('Usage Log'!$D$6:$D$85,'Usage Log'!$B$6:$B$85,"&gt;="&amp;A20,'Usage Log'!$B$6:$B$85,"&lt;"&amp;A20+1)/60</x:f>
        <x:v>0</x:v>
      </x:c>
      <x:c r="H20" s="90" t="str">
        <x:v>22 May</x:v>
      </x:c>
      <x:c r="I20" s="95" t="n">
        <x:f>E20</x:f>
        <x:v>0</x:v>
      </x:c>
    </x:row>
    <x:row r="21">
      <x:c r="A21" s="77" t="n">
        <x:v>46165</x:v>
      </x:c>
      <x:c r="B21" s="78" t="n">
        <x:f>COUNTIFS('Usage Log'!$B$6:$B$85,"&gt;="&amp;A21,'Usage Log'!$B$6:$B$85,"&lt;"&amp;A21+1)</x:f>
        <x:v>0</x:v>
      </x:c>
      <x:c r="C21" s="78" t="n">
        <x:f>COUNTIFS('Usage Log'!$B$6:$B$85,"&gt;="&amp;A21,'Usage Log'!$B$6:$B$85,"&lt;"&amp;A21+1,'Usage Log'!$E$6:$E$85,"Direct")</x:f>
        <x:v>0</x:v>
      </x:c>
      <x:c r="D21" s="78" t="n">
        <x:f>COUNTIFS('Usage Log'!$B$6:$B$85,"&gt;="&amp;A21,'Usage Log'!$B$6:$B$85,"&lt;"&amp;A21+1,'Usage Log'!$E$6:$E$85,"Sub-agent")</x:f>
        <x:v>0</x:v>
      </x:c>
      <x:c r="E21" s="79" t="n">
        <x:f>SUMIFS('Usage Log'!$J$6:$J$85,'Usage Log'!$B$6:$B$85,"&gt;="&amp;A21,'Usage Log'!$B$6:$B$85,"&lt;"&amp;A21+1)</x:f>
        <x:v>0</x:v>
      </x:c>
      <x:c r="F21" s="79" t="n">
        <x:f>IF(B21=0,0,E21/B21)</x:f>
        <x:v>0</x:v>
      </x:c>
      <x:c r="G21" s="80" t="n">
        <x:f>SUMIFS('Usage Log'!$D$6:$D$85,'Usage Log'!$B$6:$B$85,"&gt;="&amp;A21,'Usage Log'!$B$6:$B$85,"&lt;"&amp;A21+1)/60</x:f>
        <x:v>0</x:v>
      </x:c>
      <x:c r="H21" s="90" t="str">
        <x:v>23 May</x:v>
      </x:c>
      <x:c r="I21" s="95" t="n">
        <x:f>E21</x:f>
        <x:v>0</x:v>
      </x:c>
    </x:row>
    <x:row r="22">
      <x:c r="A22" s="62" t="n">
        <x:v>46166</x:v>
      </x:c>
      <x:c r="B22" s="65" t="n">
        <x:f>COUNTIFS('Usage Log'!$B$6:$B$85,"&gt;="&amp;A22,'Usage Log'!$B$6:$B$85,"&lt;"&amp;A22+1)</x:f>
        <x:v>0</x:v>
      </x:c>
      <x:c r="C22" s="65" t="n">
        <x:f>COUNTIFS('Usage Log'!$B$6:$B$85,"&gt;="&amp;A22,'Usage Log'!$B$6:$B$85,"&lt;"&amp;A22+1,'Usage Log'!$E$6:$E$85,"Direct")</x:f>
        <x:v>0</x:v>
      </x:c>
      <x:c r="D22" s="65" t="n">
        <x:f>COUNTIFS('Usage Log'!$B$6:$B$85,"&gt;="&amp;A22,'Usage Log'!$B$6:$B$85,"&lt;"&amp;A22+1,'Usage Log'!$E$6:$E$85,"Sub-agent")</x:f>
        <x:v>0</x:v>
      </x:c>
      <x:c r="E22" s="68" t="n">
        <x:f>SUMIFS('Usage Log'!$J$6:$J$85,'Usage Log'!$B$6:$B$85,"&gt;="&amp;A22,'Usage Log'!$B$6:$B$85,"&lt;"&amp;A22+1)</x:f>
        <x:v>0</x:v>
      </x:c>
      <x:c r="F22" s="68" t="n">
        <x:f>IF(B22=0,0,E22/B22)</x:f>
        <x:v>0</x:v>
      </x:c>
      <x:c r="G22" s="71" t="n">
        <x:f>SUMIFS('Usage Log'!$D$6:$D$85,'Usage Log'!$B$6:$B$85,"&gt;="&amp;A22,'Usage Log'!$B$6:$B$85,"&lt;"&amp;A22+1)/60</x:f>
        <x:v>0</x:v>
      </x:c>
      <x:c r="H22" s="90" t="str">
        <x:v>24 May</x:v>
      </x:c>
      <x:c r="I22" s="95" t="n">
        <x:f>E22</x:f>
        <x:v>0</x:v>
      </x:c>
    </x:row>
    <x:row r="23">
      <x:c r="A23" s="77" t="n">
        <x:v>46167</x:v>
      </x:c>
      <x:c r="B23" s="78" t="n">
        <x:f>COUNTIFS('Usage Log'!$B$6:$B$85,"&gt;="&amp;A23,'Usage Log'!$B$6:$B$85,"&lt;"&amp;A23+1)</x:f>
        <x:v>0</x:v>
      </x:c>
      <x:c r="C23" s="78" t="n">
        <x:f>COUNTIFS('Usage Log'!$B$6:$B$85,"&gt;="&amp;A23,'Usage Log'!$B$6:$B$85,"&lt;"&amp;A23+1,'Usage Log'!$E$6:$E$85,"Direct")</x:f>
        <x:v>0</x:v>
      </x:c>
      <x:c r="D23" s="78" t="n">
        <x:f>COUNTIFS('Usage Log'!$B$6:$B$85,"&gt;="&amp;A23,'Usage Log'!$B$6:$B$85,"&lt;"&amp;A23+1,'Usage Log'!$E$6:$E$85,"Sub-agent")</x:f>
        <x:v>0</x:v>
      </x:c>
      <x:c r="E23" s="79" t="n">
        <x:f>SUMIFS('Usage Log'!$J$6:$J$85,'Usage Log'!$B$6:$B$85,"&gt;="&amp;A23,'Usage Log'!$B$6:$B$85,"&lt;"&amp;A23+1)</x:f>
        <x:v>0</x:v>
      </x:c>
      <x:c r="F23" s="79" t="n">
        <x:f>IF(B23=0,0,E23/B23)</x:f>
        <x:v>0</x:v>
      </x:c>
      <x:c r="G23" s="80" t="n">
        <x:f>SUMIFS('Usage Log'!$D$6:$D$85,'Usage Log'!$B$6:$B$85,"&gt;="&amp;A23,'Usage Log'!$B$6:$B$85,"&lt;"&amp;A23+1)/60</x:f>
        <x:v>0</x:v>
      </x:c>
      <x:c r="H23" s="90" t="str">
        <x:v>25 May</x:v>
      </x:c>
      <x:c r="I23" s="95" t="n">
        <x:f>E23</x:f>
        <x:v>0</x:v>
      </x:c>
    </x:row>
    <x:row r="24">
      <x:c r="A24" s="62" t="n">
        <x:v>46168</x:v>
      </x:c>
      <x:c r="B24" s="65" t="n">
        <x:f>COUNTIFS('Usage Log'!$B$6:$B$85,"&gt;="&amp;A24,'Usage Log'!$B$6:$B$85,"&lt;"&amp;A24+1)</x:f>
        <x:v>0</x:v>
      </x:c>
      <x:c r="C24" s="65" t="n">
        <x:f>COUNTIFS('Usage Log'!$B$6:$B$85,"&gt;="&amp;A24,'Usage Log'!$B$6:$B$85,"&lt;"&amp;A24+1,'Usage Log'!$E$6:$E$85,"Direct")</x:f>
        <x:v>0</x:v>
      </x:c>
      <x:c r="D24" s="65" t="n">
        <x:f>COUNTIFS('Usage Log'!$B$6:$B$85,"&gt;="&amp;A24,'Usage Log'!$B$6:$B$85,"&lt;"&amp;A24+1,'Usage Log'!$E$6:$E$85,"Sub-agent")</x:f>
        <x:v>0</x:v>
      </x:c>
      <x:c r="E24" s="68" t="n">
        <x:f>SUMIFS('Usage Log'!$J$6:$J$85,'Usage Log'!$B$6:$B$85,"&gt;="&amp;A24,'Usage Log'!$B$6:$B$85,"&lt;"&amp;A24+1)</x:f>
        <x:v>0</x:v>
      </x:c>
      <x:c r="F24" s="68" t="n">
        <x:f>IF(B24=0,0,E24/B24)</x:f>
        <x:v>0</x:v>
      </x:c>
      <x:c r="G24" s="71" t="n">
        <x:f>SUMIFS('Usage Log'!$D$6:$D$85,'Usage Log'!$B$6:$B$85,"&gt;="&amp;A24,'Usage Log'!$B$6:$B$85,"&lt;"&amp;A24+1)/60</x:f>
        <x:v>0</x:v>
      </x:c>
      <x:c r="H24" s="90" t="str">
        <x:v>26 May</x:v>
      </x:c>
      <x:c r="I24" s="95" t="n">
        <x:f>E24</x:f>
        <x:v>0</x:v>
      </x:c>
    </x:row>
    <x:row r="25">
      <x:c r="A25" s="77" t="n">
        <x:v>46169</x:v>
      </x:c>
      <x:c r="B25" s="78" t="n">
        <x:f>COUNTIFS('Usage Log'!$B$6:$B$85,"&gt;="&amp;A25,'Usage Log'!$B$6:$B$85,"&lt;"&amp;A25+1)</x:f>
        <x:v>0</x:v>
      </x:c>
      <x:c r="C25" s="78" t="n">
        <x:f>COUNTIFS('Usage Log'!$B$6:$B$85,"&gt;="&amp;A25,'Usage Log'!$B$6:$B$85,"&lt;"&amp;A25+1,'Usage Log'!$E$6:$E$85,"Direct")</x:f>
        <x:v>0</x:v>
      </x:c>
      <x:c r="D25" s="78" t="n">
        <x:f>COUNTIFS('Usage Log'!$B$6:$B$85,"&gt;="&amp;A25,'Usage Log'!$B$6:$B$85,"&lt;"&amp;A25+1,'Usage Log'!$E$6:$E$85,"Sub-agent")</x:f>
        <x:v>0</x:v>
      </x:c>
      <x:c r="E25" s="79" t="n">
        <x:f>SUMIFS('Usage Log'!$J$6:$J$85,'Usage Log'!$B$6:$B$85,"&gt;="&amp;A25,'Usage Log'!$B$6:$B$85,"&lt;"&amp;A25+1)</x:f>
        <x:v>0</x:v>
      </x:c>
      <x:c r="F25" s="79" t="n">
        <x:f>IF(B25=0,0,E25/B25)</x:f>
        <x:v>0</x:v>
      </x:c>
      <x:c r="G25" s="80" t="n">
        <x:f>SUMIFS('Usage Log'!$D$6:$D$85,'Usage Log'!$B$6:$B$85,"&gt;="&amp;A25,'Usage Log'!$B$6:$B$85,"&lt;"&amp;A25+1)/60</x:f>
        <x:v>0</x:v>
      </x:c>
      <x:c r="H25" s="90" t="str">
        <x:v>27 May</x:v>
      </x:c>
      <x:c r="I25" s="95" t="n">
        <x:f>E25</x:f>
        <x:v>0</x:v>
      </x:c>
    </x:row>
    <x:row r="26">
      <x:c r="A26" s="62" t="n">
        <x:v>46170</x:v>
      </x:c>
      <x:c r="B26" s="65" t="n">
        <x:f>COUNTIFS('Usage Log'!$B$6:$B$85,"&gt;="&amp;A26,'Usage Log'!$B$6:$B$85,"&lt;"&amp;A26+1)</x:f>
        <x:v>1</x:v>
      </x:c>
      <x:c r="C26" s="65" t="n">
        <x:f>COUNTIFS('Usage Log'!$B$6:$B$85,"&gt;="&amp;A26,'Usage Log'!$B$6:$B$85,"&lt;"&amp;A26+1,'Usage Log'!$E$6:$E$85,"Direct")</x:f>
        <x:v>1</x:v>
      </x:c>
      <x:c r="D26" s="65" t="n">
        <x:f>COUNTIFS('Usage Log'!$B$6:$B$85,"&gt;="&amp;A26,'Usage Log'!$B$6:$B$85,"&lt;"&amp;A26+1,'Usage Log'!$E$6:$E$85,"Sub-agent")</x:f>
        <x:v>0</x:v>
      </x:c>
      <x:c r="E26" s="68" t="n">
        <x:f>SUMIFS('Usage Log'!$J$6:$J$85,'Usage Log'!$B$6:$B$85,"&gt;="&amp;A26,'Usage Log'!$B$6:$B$85,"&lt;"&amp;A26+1)</x:f>
        <x:v>11806709</x:v>
      </x:c>
      <x:c r="F26" s="68" t="n">
        <x:f>IF(B26=0,0,E26/B26)</x:f>
        <x:v>11806709</x:v>
      </x:c>
      <x:c r="G26" s="71" t="n">
        <x:f>SUMIFS('Usage Log'!$D$6:$D$85,'Usage Log'!$B$6:$B$85,"&gt;="&amp;A26,'Usage Log'!$B$6:$B$85,"&lt;"&amp;A26+1)/60</x:f>
        <x:v>0.403888889006339</x:v>
      </x:c>
      <x:c r="H26" s="90" t="str">
        <x:v>28 May</x:v>
      </x:c>
      <x:c r="I26" s="95" t="n">
        <x:f>E26</x:f>
        <x:v>11806709</x:v>
      </x:c>
    </x:row>
    <x:row r="27">
      <x:c r="A27" s="77" t="n">
        <x:v>46171</x:v>
      </x:c>
      <x:c r="B27" s="78" t="n">
        <x:f>COUNTIFS('Usage Log'!$B$6:$B$85,"&gt;="&amp;A27,'Usage Log'!$B$6:$B$85,"&lt;"&amp;A27+1)</x:f>
        <x:v>0</x:v>
      </x:c>
      <x:c r="C27" s="78" t="n">
        <x:f>COUNTIFS('Usage Log'!$B$6:$B$85,"&gt;="&amp;A27,'Usage Log'!$B$6:$B$85,"&lt;"&amp;A27+1,'Usage Log'!$E$6:$E$85,"Direct")</x:f>
        <x:v>0</x:v>
      </x:c>
      <x:c r="D27" s="78" t="n">
        <x:f>COUNTIFS('Usage Log'!$B$6:$B$85,"&gt;="&amp;A27,'Usage Log'!$B$6:$B$85,"&lt;"&amp;A27+1,'Usage Log'!$E$6:$E$85,"Sub-agent")</x:f>
        <x:v>0</x:v>
      </x:c>
      <x:c r="E27" s="79" t="n">
        <x:f>SUMIFS('Usage Log'!$J$6:$J$85,'Usage Log'!$B$6:$B$85,"&gt;="&amp;A27,'Usage Log'!$B$6:$B$85,"&lt;"&amp;A27+1)</x:f>
        <x:v>0</x:v>
      </x:c>
      <x:c r="F27" s="79" t="n">
        <x:f>IF(B27=0,0,E27/B27)</x:f>
        <x:v>0</x:v>
      </x:c>
      <x:c r="G27" s="80" t="n">
        <x:f>SUMIFS('Usage Log'!$D$6:$D$85,'Usage Log'!$B$6:$B$85,"&gt;="&amp;A27,'Usage Log'!$B$6:$B$85,"&lt;"&amp;A27+1)/60</x:f>
        <x:v>0</x:v>
      </x:c>
      <x:c r="H27" s="90" t="str">
        <x:v>29 May</x:v>
      </x:c>
      <x:c r="I27" s="95" t="n">
        <x:f>E27</x:f>
        <x:v>0</x:v>
      </x:c>
    </x:row>
    <x:row r="28">
      <x:c r="A28" s="62" t="n">
        <x:v>46172</x:v>
      </x:c>
      <x:c r="B28" s="65" t="n">
        <x:f>COUNTIFS('Usage Log'!$B$6:$B$85,"&gt;="&amp;A28,'Usage Log'!$B$6:$B$85,"&lt;"&amp;A28+1)</x:f>
        <x:v>0</x:v>
      </x:c>
      <x:c r="C28" s="65" t="n">
        <x:f>COUNTIFS('Usage Log'!$B$6:$B$85,"&gt;="&amp;A28,'Usage Log'!$B$6:$B$85,"&lt;"&amp;A28+1,'Usage Log'!$E$6:$E$85,"Direct")</x:f>
        <x:v>0</x:v>
      </x:c>
      <x:c r="D28" s="65" t="n">
        <x:f>COUNTIFS('Usage Log'!$B$6:$B$85,"&gt;="&amp;A28,'Usage Log'!$B$6:$B$85,"&lt;"&amp;A28+1,'Usage Log'!$E$6:$E$85,"Sub-agent")</x:f>
        <x:v>0</x:v>
      </x:c>
      <x:c r="E28" s="68" t="n">
        <x:f>SUMIFS('Usage Log'!$J$6:$J$85,'Usage Log'!$B$6:$B$85,"&gt;="&amp;A28,'Usage Log'!$B$6:$B$85,"&lt;"&amp;A28+1)</x:f>
        <x:v>0</x:v>
      </x:c>
      <x:c r="F28" s="68" t="n">
        <x:f>IF(B28=0,0,E28/B28)</x:f>
        <x:v>0</x:v>
      </x:c>
      <x:c r="G28" s="71" t="n">
        <x:f>SUMIFS('Usage Log'!$D$6:$D$85,'Usage Log'!$B$6:$B$85,"&gt;="&amp;A28,'Usage Log'!$B$6:$B$85,"&lt;"&amp;A28+1)/60</x:f>
        <x:v>0</x:v>
      </x:c>
      <x:c r="H28" s="90" t="str">
        <x:v>30 May</x:v>
      </x:c>
      <x:c r="I28" s="95" t="n">
        <x:f>E28</x:f>
        <x:v>0</x:v>
      </x:c>
    </x:row>
    <x:row r="29">
      <x:c r="A29" s="77" t="n">
        <x:v>46173</x:v>
      </x:c>
      <x:c r="B29" s="78" t="n">
        <x:f>COUNTIFS('Usage Log'!$B$6:$B$85,"&gt;="&amp;A29,'Usage Log'!$B$6:$B$85,"&lt;"&amp;A29+1)</x:f>
        <x:v>0</x:v>
      </x:c>
      <x:c r="C29" s="78" t="n">
        <x:f>COUNTIFS('Usage Log'!$B$6:$B$85,"&gt;="&amp;A29,'Usage Log'!$B$6:$B$85,"&lt;"&amp;A29+1,'Usage Log'!$E$6:$E$85,"Direct")</x:f>
        <x:v>0</x:v>
      </x:c>
      <x:c r="D29" s="78" t="n">
        <x:f>COUNTIFS('Usage Log'!$B$6:$B$85,"&gt;="&amp;A29,'Usage Log'!$B$6:$B$85,"&lt;"&amp;A29+1,'Usage Log'!$E$6:$E$85,"Sub-agent")</x:f>
        <x:v>0</x:v>
      </x:c>
      <x:c r="E29" s="79" t="n">
        <x:f>SUMIFS('Usage Log'!$J$6:$J$85,'Usage Log'!$B$6:$B$85,"&gt;="&amp;A29,'Usage Log'!$B$6:$B$85,"&lt;"&amp;A29+1)</x:f>
        <x:v>0</x:v>
      </x:c>
      <x:c r="F29" s="79" t="n">
        <x:f>IF(B29=0,0,E29/B29)</x:f>
        <x:v>0</x:v>
      </x:c>
      <x:c r="G29" s="80" t="n">
        <x:f>SUMIFS('Usage Log'!$D$6:$D$85,'Usage Log'!$B$6:$B$85,"&gt;="&amp;A29,'Usage Log'!$B$6:$B$85,"&lt;"&amp;A29+1)/60</x:f>
        <x:v>0</x:v>
      </x:c>
      <x:c r="H29" s="90" t="str">
        <x:v>31 May</x:v>
      </x:c>
      <x:c r="I29" s="95" t="n">
        <x:f>E29</x:f>
        <x:v>0</x:v>
      </x:c>
    </x:row>
    <x:row r="30">
      <x:c r="A30" s="62" t="n">
        <x:v>46174</x:v>
      </x:c>
      <x:c r="B30" s="65" t="n">
        <x:f>COUNTIFS('Usage Log'!$B$6:$B$85,"&gt;="&amp;A30,'Usage Log'!$B$6:$B$85,"&lt;"&amp;A30+1)</x:f>
        <x:v>0</x:v>
      </x:c>
      <x:c r="C30" s="65" t="n">
        <x:f>COUNTIFS('Usage Log'!$B$6:$B$85,"&gt;="&amp;A30,'Usage Log'!$B$6:$B$85,"&lt;"&amp;A30+1,'Usage Log'!$E$6:$E$85,"Direct")</x:f>
        <x:v>0</x:v>
      </x:c>
      <x:c r="D30" s="65" t="n">
        <x:f>COUNTIFS('Usage Log'!$B$6:$B$85,"&gt;="&amp;A30,'Usage Log'!$B$6:$B$85,"&lt;"&amp;A30+1,'Usage Log'!$E$6:$E$85,"Sub-agent")</x:f>
        <x:v>0</x:v>
      </x:c>
      <x:c r="E30" s="68" t="n">
        <x:f>SUMIFS('Usage Log'!$J$6:$J$85,'Usage Log'!$B$6:$B$85,"&gt;="&amp;A30,'Usage Log'!$B$6:$B$85,"&lt;"&amp;A30+1)</x:f>
        <x:v>0</x:v>
      </x:c>
      <x:c r="F30" s="68" t="n">
        <x:f>IF(B30=0,0,E30/B30)</x:f>
        <x:v>0</x:v>
      </x:c>
      <x:c r="G30" s="71" t="n">
        <x:f>SUMIFS('Usage Log'!$D$6:$D$85,'Usage Log'!$B$6:$B$85,"&gt;="&amp;A30,'Usage Log'!$B$6:$B$85,"&lt;"&amp;A30+1)/60</x:f>
        <x:v>0</x:v>
      </x:c>
      <x:c r="H30" s="90" t="str">
        <x:v>01 Jun</x:v>
      </x:c>
      <x:c r="I30" s="95" t="n">
        <x:f>E30</x:f>
        <x:v>0</x:v>
      </x:c>
    </x:row>
    <x:row r="31">
      <x:c r="A31" s="77" t="n">
        <x:v>46175</x:v>
      </x:c>
      <x:c r="B31" s="78" t="n">
        <x:f>COUNTIFS('Usage Log'!$B$6:$B$85,"&gt;="&amp;A31,'Usage Log'!$B$6:$B$85,"&lt;"&amp;A31+1)</x:f>
        <x:v>0</x:v>
      </x:c>
      <x:c r="C31" s="78" t="n">
        <x:f>COUNTIFS('Usage Log'!$B$6:$B$85,"&gt;="&amp;A31,'Usage Log'!$B$6:$B$85,"&lt;"&amp;A31+1,'Usage Log'!$E$6:$E$85,"Direct")</x:f>
        <x:v>0</x:v>
      </x:c>
      <x:c r="D31" s="78" t="n">
        <x:f>COUNTIFS('Usage Log'!$B$6:$B$85,"&gt;="&amp;A31,'Usage Log'!$B$6:$B$85,"&lt;"&amp;A31+1,'Usage Log'!$E$6:$E$85,"Sub-agent")</x:f>
        <x:v>0</x:v>
      </x:c>
      <x:c r="E31" s="79" t="n">
        <x:f>SUMIFS('Usage Log'!$J$6:$J$85,'Usage Log'!$B$6:$B$85,"&gt;="&amp;A31,'Usage Log'!$B$6:$B$85,"&lt;"&amp;A31+1)</x:f>
        <x:v>0</x:v>
      </x:c>
      <x:c r="F31" s="79" t="n">
        <x:f>IF(B31=0,0,E31/B31)</x:f>
        <x:v>0</x:v>
      </x:c>
      <x:c r="G31" s="80" t="n">
        <x:f>SUMIFS('Usage Log'!$D$6:$D$85,'Usage Log'!$B$6:$B$85,"&gt;="&amp;A31,'Usage Log'!$B$6:$B$85,"&lt;"&amp;A31+1)/60</x:f>
        <x:v>0</x:v>
      </x:c>
      <x:c r="H31" s="90" t="str">
        <x:v>02 Jun</x:v>
      </x:c>
      <x:c r="I31" s="95" t="n">
        <x:f>E31</x:f>
        <x:v>0</x:v>
      </x:c>
    </x:row>
    <x:row r="32">
      <x:c r="A32" s="62" t="n">
        <x:v>46176</x:v>
      </x:c>
      <x:c r="B32" s="65" t="n">
        <x:f>COUNTIFS('Usage Log'!$B$6:$B$85,"&gt;="&amp;A32,'Usage Log'!$B$6:$B$85,"&lt;"&amp;A32+1)</x:f>
        <x:v>0</x:v>
      </x:c>
      <x:c r="C32" s="65" t="n">
        <x:f>COUNTIFS('Usage Log'!$B$6:$B$85,"&gt;="&amp;A32,'Usage Log'!$B$6:$B$85,"&lt;"&amp;A32+1,'Usage Log'!$E$6:$E$85,"Direct")</x:f>
        <x:v>0</x:v>
      </x:c>
      <x:c r="D32" s="65" t="n">
        <x:f>COUNTIFS('Usage Log'!$B$6:$B$85,"&gt;="&amp;A32,'Usage Log'!$B$6:$B$85,"&lt;"&amp;A32+1,'Usage Log'!$E$6:$E$85,"Sub-agent")</x:f>
        <x:v>0</x:v>
      </x:c>
      <x:c r="E32" s="68" t="n">
        <x:f>SUMIFS('Usage Log'!$J$6:$J$85,'Usage Log'!$B$6:$B$85,"&gt;="&amp;A32,'Usage Log'!$B$6:$B$85,"&lt;"&amp;A32+1)</x:f>
        <x:v>0</x:v>
      </x:c>
      <x:c r="F32" s="68" t="n">
        <x:f>IF(B32=0,0,E32/B32)</x:f>
        <x:v>0</x:v>
      </x:c>
      <x:c r="G32" s="71" t="n">
        <x:f>SUMIFS('Usage Log'!$D$6:$D$85,'Usage Log'!$B$6:$B$85,"&gt;="&amp;A32,'Usage Log'!$B$6:$B$85,"&lt;"&amp;A32+1)/60</x:f>
        <x:v>0</x:v>
      </x:c>
      <x:c r="H32" s="90" t="str">
        <x:v>03 Jun</x:v>
      </x:c>
      <x:c r="I32" s="95" t="n">
        <x:f>E32</x:f>
        <x:v>0</x:v>
      </x:c>
    </x:row>
    <x:row r="33">
      <x:c r="A33" s="77" t="n">
        <x:v>46177</x:v>
      </x:c>
      <x:c r="B33" s="78" t="n">
        <x:f>COUNTIFS('Usage Log'!$B$6:$B$85,"&gt;="&amp;A33,'Usage Log'!$B$6:$B$85,"&lt;"&amp;A33+1)</x:f>
        <x:v>0</x:v>
      </x:c>
      <x:c r="C33" s="78" t="n">
        <x:f>COUNTIFS('Usage Log'!$B$6:$B$85,"&gt;="&amp;A33,'Usage Log'!$B$6:$B$85,"&lt;"&amp;A33+1,'Usage Log'!$E$6:$E$85,"Direct")</x:f>
        <x:v>0</x:v>
      </x:c>
      <x:c r="D33" s="78" t="n">
        <x:f>COUNTIFS('Usage Log'!$B$6:$B$85,"&gt;="&amp;A33,'Usage Log'!$B$6:$B$85,"&lt;"&amp;A33+1,'Usage Log'!$E$6:$E$85,"Sub-agent")</x:f>
        <x:v>0</x:v>
      </x:c>
      <x:c r="E33" s="79" t="n">
        <x:f>SUMIFS('Usage Log'!$J$6:$J$85,'Usage Log'!$B$6:$B$85,"&gt;="&amp;A33,'Usage Log'!$B$6:$B$85,"&lt;"&amp;A33+1)</x:f>
        <x:v>0</x:v>
      </x:c>
      <x:c r="F33" s="79" t="n">
        <x:f>IF(B33=0,0,E33/B33)</x:f>
        <x:v>0</x:v>
      </x:c>
      <x:c r="G33" s="80" t="n">
        <x:f>SUMIFS('Usage Log'!$D$6:$D$85,'Usage Log'!$B$6:$B$85,"&gt;="&amp;A33,'Usage Log'!$B$6:$B$85,"&lt;"&amp;A33+1)/60</x:f>
        <x:v>0</x:v>
      </x:c>
      <x:c r="H33" s="90" t="str">
        <x:v>04 Jun</x:v>
      </x:c>
      <x:c r="I33" s="95" t="n">
        <x:f>E33</x:f>
        <x:v>0</x:v>
      </x:c>
    </x:row>
    <x:row r="34">
      <x:c r="A34" s="62" t="n">
        <x:v>46178</x:v>
      </x:c>
      <x:c r="B34" s="65" t="n">
        <x:f>COUNTIFS('Usage Log'!$B$6:$B$85,"&gt;="&amp;A34,'Usage Log'!$B$6:$B$85,"&lt;"&amp;A34+1)</x:f>
        <x:v>0</x:v>
      </x:c>
      <x:c r="C34" s="65" t="n">
        <x:f>COUNTIFS('Usage Log'!$B$6:$B$85,"&gt;="&amp;A34,'Usage Log'!$B$6:$B$85,"&lt;"&amp;A34+1,'Usage Log'!$E$6:$E$85,"Direct")</x:f>
        <x:v>0</x:v>
      </x:c>
      <x:c r="D34" s="65" t="n">
        <x:f>COUNTIFS('Usage Log'!$B$6:$B$85,"&gt;="&amp;A34,'Usage Log'!$B$6:$B$85,"&lt;"&amp;A34+1,'Usage Log'!$E$6:$E$85,"Sub-agent")</x:f>
        <x:v>0</x:v>
      </x:c>
      <x:c r="E34" s="68" t="n">
        <x:f>SUMIFS('Usage Log'!$J$6:$J$85,'Usage Log'!$B$6:$B$85,"&gt;="&amp;A34,'Usage Log'!$B$6:$B$85,"&lt;"&amp;A34+1)</x:f>
        <x:v>0</x:v>
      </x:c>
      <x:c r="F34" s="68" t="n">
        <x:f>IF(B34=0,0,E34/B34)</x:f>
        <x:v>0</x:v>
      </x:c>
      <x:c r="G34" s="71" t="n">
        <x:f>SUMIFS('Usage Log'!$D$6:$D$85,'Usage Log'!$B$6:$B$85,"&gt;="&amp;A34,'Usage Log'!$B$6:$B$85,"&lt;"&amp;A34+1)/60</x:f>
        <x:v>0</x:v>
      </x:c>
      <x:c r="H34" s="90" t="str">
        <x:v>05 Jun</x:v>
      </x:c>
      <x:c r="I34" s="95" t="n">
        <x:f>E34</x:f>
        <x:v>0</x:v>
      </x:c>
    </x:row>
    <x:row r="35">
      <x:c r="A35" s="77" t="n">
        <x:v>46179</x:v>
      </x:c>
      <x:c r="B35" s="78" t="n">
        <x:f>COUNTIFS('Usage Log'!$B$6:$B$85,"&gt;="&amp;A35,'Usage Log'!$B$6:$B$85,"&lt;"&amp;A35+1)</x:f>
        <x:v>0</x:v>
      </x:c>
      <x:c r="C35" s="78" t="n">
        <x:f>COUNTIFS('Usage Log'!$B$6:$B$85,"&gt;="&amp;A35,'Usage Log'!$B$6:$B$85,"&lt;"&amp;A35+1,'Usage Log'!$E$6:$E$85,"Direct")</x:f>
        <x:v>0</x:v>
      </x:c>
      <x:c r="D35" s="78" t="n">
        <x:f>COUNTIFS('Usage Log'!$B$6:$B$85,"&gt;="&amp;A35,'Usage Log'!$B$6:$B$85,"&lt;"&amp;A35+1,'Usage Log'!$E$6:$E$85,"Sub-agent")</x:f>
        <x:v>0</x:v>
      </x:c>
      <x:c r="E35" s="79" t="n">
        <x:f>SUMIFS('Usage Log'!$J$6:$J$85,'Usage Log'!$B$6:$B$85,"&gt;="&amp;A35,'Usage Log'!$B$6:$B$85,"&lt;"&amp;A35+1)</x:f>
        <x:v>0</x:v>
      </x:c>
      <x:c r="F35" s="79" t="n">
        <x:f>IF(B35=0,0,E35/B35)</x:f>
        <x:v>0</x:v>
      </x:c>
      <x:c r="G35" s="80" t="n">
        <x:f>SUMIFS('Usage Log'!$D$6:$D$85,'Usage Log'!$B$6:$B$85,"&gt;="&amp;A35,'Usage Log'!$B$6:$B$85,"&lt;"&amp;A35+1)/60</x:f>
        <x:v>0</x:v>
      </x:c>
      <x:c r="H35" s="90" t="str">
        <x:v>06 Jun</x:v>
      </x:c>
      <x:c r="I35" s="95" t="n">
        <x:f>E35</x:f>
        <x:v>0</x:v>
      </x:c>
    </x:row>
    <x:row r="36">
      <x:c r="A36" s="62" t="n">
        <x:v>46180</x:v>
      </x:c>
      <x:c r="B36" s="65" t="n">
        <x:f>COUNTIFS('Usage Log'!$B$6:$B$85,"&gt;="&amp;A36,'Usage Log'!$B$6:$B$85,"&lt;"&amp;A36+1)</x:f>
        <x:v>0</x:v>
      </x:c>
      <x:c r="C36" s="65" t="n">
        <x:f>COUNTIFS('Usage Log'!$B$6:$B$85,"&gt;="&amp;A36,'Usage Log'!$B$6:$B$85,"&lt;"&amp;A36+1,'Usage Log'!$E$6:$E$85,"Direct")</x:f>
        <x:v>0</x:v>
      </x:c>
      <x:c r="D36" s="65" t="n">
        <x:f>COUNTIFS('Usage Log'!$B$6:$B$85,"&gt;="&amp;A36,'Usage Log'!$B$6:$B$85,"&lt;"&amp;A36+1,'Usage Log'!$E$6:$E$85,"Sub-agent")</x:f>
        <x:v>0</x:v>
      </x:c>
      <x:c r="E36" s="68" t="n">
        <x:f>SUMIFS('Usage Log'!$J$6:$J$85,'Usage Log'!$B$6:$B$85,"&gt;="&amp;A36,'Usage Log'!$B$6:$B$85,"&lt;"&amp;A36+1)</x:f>
        <x:v>0</x:v>
      </x:c>
      <x:c r="F36" s="68" t="n">
        <x:f>IF(B36=0,0,E36/B36)</x:f>
        <x:v>0</x:v>
      </x:c>
      <x:c r="G36" s="71" t="n">
        <x:f>SUMIFS('Usage Log'!$D$6:$D$85,'Usage Log'!$B$6:$B$85,"&gt;="&amp;A36,'Usage Log'!$B$6:$B$85,"&lt;"&amp;A36+1)/60</x:f>
        <x:v>0</x:v>
      </x:c>
      <x:c r="H36" s="90" t="str">
        <x:v>07 Jun</x:v>
      </x:c>
      <x:c r="I36" s="95" t="n">
        <x:f>E36</x:f>
        <x:v>0</x:v>
      </x:c>
    </x:row>
    <x:row r="37">
      <x:c r="A37" s="77" t="n">
        <x:v>46181</x:v>
      </x:c>
      <x:c r="B37" s="78" t="n">
        <x:f>COUNTIFS('Usage Log'!$B$6:$B$85,"&gt;="&amp;A37,'Usage Log'!$B$6:$B$85,"&lt;"&amp;A37+1)</x:f>
        <x:v>0</x:v>
      </x:c>
      <x:c r="C37" s="78" t="n">
        <x:f>COUNTIFS('Usage Log'!$B$6:$B$85,"&gt;="&amp;A37,'Usage Log'!$B$6:$B$85,"&lt;"&amp;A37+1,'Usage Log'!$E$6:$E$85,"Direct")</x:f>
        <x:v>0</x:v>
      </x:c>
      <x:c r="D37" s="78" t="n">
        <x:f>COUNTIFS('Usage Log'!$B$6:$B$85,"&gt;="&amp;A37,'Usage Log'!$B$6:$B$85,"&lt;"&amp;A37+1,'Usage Log'!$E$6:$E$85,"Sub-agent")</x:f>
        <x:v>0</x:v>
      </x:c>
      <x:c r="E37" s="79" t="n">
        <x:f>SUMIFS('Usage Log'!$J$6:$J$85,'Usage Log'!$B$6:$B$85,"&gt;="&amp;A37,'Usage Log'!$B$6:$B$85,"&lt;"&amp;A37+1)</x:f>
        <x:v>0</x:v>
      </x:c>
      <x:c r="F37" s="79" t="n">
        <x:f>IF(B37=0,0,E37/B37)</x:f>
        <x:v>0</x:v>
      </x:c>
      <x:c r="G37" s="80" t="n">
        <x:f>SUMIFS('Usage Log'!$D$6:$D$85,'Usage Log'!$B$6:$B$85,"&gt;="&amp;A37,'Usage Log'!$B$6:$B$85,"&lt;"&amp;A37+1)/60</x:f>
        <x:v>0</x:v>
      </x:c>
      <x:c r="H37" s="90" t="str">
        <x:v>08 Jun</x:v>
      </x:c>
      <x:c r="I37" s="95" t="n">
        <x:f>E37</x:f>
        <x:v>0</x:v>
      </x:c>
    </x:row>
    <x:row r="38">
      <x:c r="A38" s="62" t="n">
        <x:v>46182</x:v>
      </x:c>
      <x:c r="B38" s="65" t="n">
        <x:f>COUNTIFS('Usage Log'!$B$6:$B$85,"&gt;="&amp;A38,'Usage Log'!$B$6:$B$85,"&lt;"&amp;A38+1)</x:f>
        <x:v>2</x:v>
      </x:c>
      <x:c r="C38" s="65" t="n">
        <x:f>COUNTIFS('Usage Log'!$B$6:$B$85,"&gt;="&amp;A38,'Usage Log'!$B$6:$B$85,"&lt;"&amp;A38+1,'Usage Log'!$E$6:$E$85,"Direct")</x:f>
        <x:v>1</x:v>
      </x:c>
      <x:c r="D38" s="65" t="n">
        <x:f>COUNTIFS('Usage Log'!$B$6:$B$85,"&gt;="&amp;A38,'Usage Log'!$B$6:$B$85,"&lt;"&amp;A38+1,'Usage Log'!$E$6:$E$85,"Sub-agent")</x:f>
        <x:v>1</x:v>
      </x:c>
      <x:c r="E38" s="68" t="n">
        <x:f>SUMIFS('Usage Log'!$J$6:$J$85,'Usage Log'!$B$6:$B$85,"&gt;="&amp;A38,'Usage Log'!$B$6:$B$85,"&lt;"&amp;A38+1)</x:f>
        <x:v>727786</x:v>
      </x:c>
      <x:c r="F38" s="68" t="n">
        <x:f>IF(B38=0,0,E38/B38)</x:f>
        <x:v>363893</x:v>
      </x:c>
      <x:c r="G38" s="71" t="n">
        <x:f>SUMIFS('Usage Log'!$D$6:$D$85,'Usage Log'!$B$6:$B$85,"&gt;="&amp;A38,'Usage Log'!$B$6:$B$85,"&lt;"&amp;A38+1)/60</x:f>
        <x:v>0.17583333322545514</x:v>
      </x:c>
      <x:c r="H38" s="90" t="str">
        <x:v>09 Jun</x:v>
      </x:c>
      <x:c r="I38" s="95" t="n">
        <x:f>E38</x:f>
        <x:v>727786</x:v>
      </x:c>
    </x:row>
    <x:row r="39">
      <x:c r="A39" s="77" t="n">
        <x:v>46183</x:v>
      </x:c>
      <x:c r="B39" s="78" t="n">
        <x:f>COUNTIFS('Usage Log'!$B$6:$B$85,"&gt;="&amp;A39,'Usage Log'!$B$6:$B$85,"&lt;"&amp;A39+1)</x:f>
        <x:v>0</x:v>
      </x:c>
      <x:c r="C39" s="78" t="n">
        <x:f>COUNTIFS('Usage Log'!$B$6:$B$85,"&gt;="&amp;A39,'Usage Log'!$B$6:$B$85,"&lt;"&amp;A39+1,'Usage Log'!$E$6:$E$85,"Direct")</x:f>
        <x:v>0</x:v>
      </x:c>
      <x:c r="D39" s="78" t="n">
        <x:f>COUNTIFS('Usage Log'!$B$6:$B$85,"&gt;="&amp;A39,'Usage Log'!$B$6:$B$85,"&lt;"&amp;A39+1,'Usage Log'!$E$6:$E$85,"Sub-agent")</x:f>
        <x:v>0</x:v>
      </x:c>
      <x:c r="E39" s="79" t="n">
        <x:f>SUMIFS('Usage Log'!$J$6:$J$85,'Usage Log'!$B$6:$B$85,"&gt;="&amp;A39,'Usage Log'!$B$6:$B$85,"&lt;"&amp;A39+1)</x:f>
        <x:v>0</x:v>
      </x:c>
      <x:c r="F39" s="79" t="n">
        <x:f>IF(B39=0,0,E39/B39)</x:f>
        <x:v>0</x:v>
      </x:c>
      <x:c r="G39" s="80" t="n">
        <x:f>SUMIFS('Usage Log'!$D$6:$D$85,'Usage Log'!$B$6:$B$85,"&gt;="&amp;A39,'Usage Log'!$B$6:$B$85,"&lt;"&amp;A39+1)/60</x:f>
        <x:v>0</x:v>
      </x:c>
      <x:c r="H39" s="90" t="str">
        <x:v>10 Jun</x:v>
      </x:c>
      <x:c r="I39" s="95" t="n">
        <x:f>E39</x:f>
        <x:v>0</x:v>
      </x:c>
    </x:row>
    <x:row r="40">
      <x:c r="A40" s="62" t="n">
        <x:v>46184</x:v>
      </x:c>
      <x:c r="B40" s="65" t="n">
        <x:f>COUNTIFS('Usage Log'!$B$6:$B$85,"&gt;="&amp;A40,'Usage Log'!$B$6:$B$85,"&lt;"&amp;A40+1)</x:f>
        <x:v>1</x:v>
      </x:c>
      <x:c r="C40" s="65" t="n">
        <x:f>COUNTIFS('Usage Log'!$B$6:$B$85,"&gt;="&amp;A40,'Usage Log'!$B$6:$B$85,"&lt;"&amp;A40+1,'Usage Log'!$E$6:$E$85,"Direct")</x:f>
        <x:v>1</x:v>
      </x:c>
      <x:c r="D40" s="65" t="n">
        <x:f>COUNTIFS('Usage Log'!$B$6:$B$85,"&gt;="&amp;A40,'Usage Log'!$B$6:$B$85,"&lt;"&amp;A40+1,'Usage Log'!$E$6:$E$85,"Sub-agent")</x:f>
        <x:v>0</x:v>
      </x:c>
      <x:c r="E40" s="68" t="n">
        <x:f>SUMIFS('Usage Log'!$J$6:$J$85,'Usage Log'!$B$6:$B$85,"&gt;="&amp;A40,'Usage Log'!$B$6:$B$85,"&lt;"&amp;A40+1)</x:f>
        <x:v>109494</x:v>
      </x:c>
      <x:c r="F40" s="68" t="n">
        <x:f>IF(B40=0,0,E40/B40)</x:f>
        <x:v>109494</x:v>
      </x:c>
      <x:c r="G40" s="71" t="n">
        <x:f>SUMIFS('Usage Log'!$D$6:$D$85,'Usage Log'!$B$6:$B$85,"&gt;="&amp;A40,'Usage Log'!$B$6:$B$85,"&lt;"&amp;A40+1)/60</x:f>
        <x:v>0.0344444444635883</x:v>
      </x:c>
      <x:c r="H40" s="90" t="str">
        <x:v>11 Jun</x:v>
      </x:c>
      <x:c r="I40" s="95" t="n">
        <x:f>E40</x:f>
        <x:v>109494</x:v>
      </x:c>
    </x:row>
    <x:row r="41">
      <x:c r="A41" s="77" t="n">
        <x:v>46185</x:v>
      </x:c>
      <x:c r="B41" s="78" t="n">
        <x:f>COUNTIFS('Usage Log'!$B$6:$B$85,"&gt;="&amp;A41,'Usage Log'!$B$6:$B$85,"&lt;"&amp;A41+1)</x:f>
        <x:v>1</x:v>
      </x:c>
      <x:c r="C41" s="78" t="n">
        <x:f>COUNTIFS('Usage Log'!$B$6:$B$85,"&gt;="&amp;A41,'Usage Log'!$B$6:$B$85,"&lt;"&amp;A41+1,'Usage Log'!$E$6:$E$85,"Direct")</x:f>
        <x:v>1</x:v>
      </x:c>
      <x:c r="D41" s="78" t="n">
        <x:f>COUNTIFS('Usage Log'!$B$6:$B$85,"&gt;="&amp;A41,'Usage Log'!$B$6:$B$85,"&lt;"&amp;A41+1,'Usage Log'!$E$6:$E$85,"Sub-agent")</x:f>
        <x:v>0</x:v>
      </x:c>
      <x:c r="E41" s="79" t="n">
        <x:f>SUMIFS('Usage Log'!$J$6:$J$85,'Usage Log'!$B$6:$B$85,"&gt;="&amp;A41,'Usage Log'!$B$6:$B$85,"&lt;"&amp;A41+1)</x:f>
        <x:v>0</x:v>
      </x:c>
      <x:c r="F41" s="79" t="n">
        <x:f>IF(B41=0,0,E41/B41)</x:f>
        <x:v>0</x:v>
      </x:c>
      <x:c r="G41" s="80" t="n">
        <x:f>SUMIFS('Usage Log'!$D$6:$D$85,'Usage Log'!$B$6:$B$85,"&gt;="&amp;A41,'Usage Log'!$B$6:$B$85,"&lt;"&amp;A41+1)/60</x:f>
        <x:v>0.00888888887129724</x:v>
      </x:c>
      <x:c r="H41" s="90" t="str">
        <x:v>12 Jun</x:v>
      </x:c>
      <x:c r="I41" s="95" t="n">
        <x:f>E41</x:f>
        <x:v>0</x:v>
      </x:c>
    </x:row>
    <x:row r="42">
      <x:c r="A42" s="62" t="n">
        <x:v>46186</x:v>
      </x:c>
      <x:c r="B42" s="65" t="n">
        <x:f>COUNTIFS('Usage Log'!$B$6:$B$85,"&gt;="&amp;A42,'Usage Log'!$B$6:$B$85,"&lt;"&amp;A42+1)</x:f>
        <x:v>0</x:v>
      </x:c>
      <x:c r="C42" s="65" t="n">
        <x:f>COUNTIFS('Usage Log'!$B$6:$B$85,"&gt;="&amp;A42,'Usage Log'!$B$6:$B$85,"&lt;"&amp;A42+1,'Usage Log'!$E$6:$E$85,"Direct")</x:f>
        <x:v>0</x:v>
      </x:c>
      <x:c r="D42" s="65" t="n">
        <x:f>COUNTIFS('Usage Log'!$B$6:$B$85,"&gt;="&amp;A42,'Usage Log'!$B$6:$B$85,"&lt;"&amp;A42+1,'Usage Log'!$E$6:$E$85,"Sub-agent")</x:f>
        <x:v>0</x:v>
      </x:c>
      <x:c r="E42" s="68" t="n">
        <x:f>SUMIFS('Usage Log'!$J$6:$J$85,'Usage Log'!$B$6:$B$85,"&gt;="&amp;A42,'Usage Log'!$B$6:$B$85,"&lt;"&amp;A42+1)</x:f>
        <x:v>0</x:v>
      </x:c>
      <x:c r="F42" s="68" t="n">
        <x:f>IF(B42=0,0,E42/B42)</x:f>
        <x:v>0</x:v>
      </x:c>
      <x:c r="G42" s="71" t="n">
        <x:f>SUMIFS('Usage Log'!$D$6:$D$85,'Usage Log'!$B$6:$B$85,"&gt;="&amp;A42,'Usage Log'!$B$6:$B$85,"&lt;"&amp;A42+1)/60</x:f>
        <x:v>0</x:v>
      </x:c>
      <x:c r="H42" s="90" t="str">
        <x:v>13 Jun</x:v>
      </x:c>
      <x:c r="I42" s="95" t="n">
        <x:f>E42</x:f>
        <x:v>0</x:v>
      </x:c>
    </x:row>
    <x:row r="43">
      <x:c r="A43" s="77" t="n">
        <x:v>46187</x:v>
      </x:c>
      <x:c r="B43" s="78" t="n">
        <x:f>COUNTIFS('Usage Log'!$B$6:$B$85,"&gt;="&amp;A43,'Usage Log'!$B$6:$B$85,"&lt;"&amp;A43+1)</x:f>
        <x:v>0</x:v>
      </x:c>
      <x:c r="C43" s="78" t="n">
        <x:f>COUNTIFS('Usage Log'!$B$6:$B$85,"&gt;="&amp;A43,'Usage Log'!$B$6:$B$85,"&lt;"&amp;A43+1,'Usage Log'!$E$6:$E$85,"Direct")</x:f>
        <x:v>0</x:v>
      </x:c>
      <x:c r="D43" s="78" t="n">
        <x:f>COUNTIFS('Usage Log'!$B$6:$B$85,"&gt;="&amp;A43,'Usage Log'!$B$6:$B$85,"&lt;"&amp;A43+1,'Usage Log'!$E$6:$E$85,"Sub-agent")</x:f>
        <x:v>0</x:v>
      </x:c>
      <x:c r="E43" s="79" t="n">
        <x:f>SUMIFS('Usage Log'!$J$6:$J$85,'Usage Log'!$B$6:$B$85,"&gt;="&amp;A43,'Usage Log'!$B$6:$B$85,"&lt;"&amp;A43+1)</x:f>
        <x:v>0</x:v>
      </x:c>
      <x:c r="F43" s="79" t="n">
        <x:f>IF(B43=0,0,E43/B43)</x:f>
        <x:v>0</x:v>
      </x:c>
      <x:c r="G43" s="80" t="n">
        <x:f>SUMIFS('Usage Log'!$D$6:$D$85,'Usage Log'!$B$6:$B$85,"&gt;="&amp;A43,'Usage Log'!$B$6:$B$85,"&lt;"&amp;A43+1)/60</x:f>
        <x:v>0</x:v>
      </x:c>
      <x:c r="H43" s="90" t="str">
        <x:v>14 Jun</x:v>
      </x:c>
      <x:c r="I43" s="95" t="n">
        <x:f>E43</x:f>
        <x:v>0</x:v>
      </x:c>
    </x:row>
    <x:row r="44">
      <x:c r="A44" s="62" t="n">
        <x:v>46188</x:v>
      </x:c>
      <x:c r="B44" s="65" t="n">
        <x:f>COUNTIFS('Usage Log'!$B$6:$B$85,"&gt;="&amp;A44,'Usage Log'!$B$6:$B$85,"&lt;"&amp;A44+1)</x:f>
        <x:v>0</x:v>
      </x:c>
      <x:c r="C44" s="65" t="n">
        <x:f>COUNTIFS('Usage Log'!$B$6:$B$85,"&gt;="&amp;A44,'Usage Log'!$B$6:$B$85,"&lt;"&amp;A44+1,'Usage Log'!$E$6:$E$85,"Direct")</x:f>
        <x:v>0</x:v>
      </x:c>
      <x:c r="D44" s="65" t="n">
        <x:f>COUNTIFS('Usage Log'!$B$6:$B$85,"&gt;="&amp;A44,'Usage Log'!$B$6:$B$85,"&lt;"&amp;A44+1,'Usage Log'!$E$6:$E$85,"Sub-agent")</x:f>
        <x:v>0</x:v>
      </x:c>
      <x:c r="E44" s="68" t="n">
        <x:f>SUMIFS('Usage Log'!$J$6:$J$85,'Usage Log'!$B$6:$B$85,"&gt;="&amp;A44,'Usage Log'!$B$6:$B$85,"&lt;"&amp;A44+1)</x:f>
        <x:v>0</x:v>
      </x:c>
      <x:c r="F44" s="68" t="n">
        <x:f>IF(B44=0,0,E44/B44)</x:f>
        <x:v>0</x:v>
      </x:c>
      <x:c r="G44" s="71" t="n">
        <x:f>SUMIFS('Usage Log'!$D$6:$D$85,'Usage Log'!$B$6:$B$85,"&gt;="&amp;A44,'Usage Log'!$B$6:$B$85,"&lt;"&amp;A44+1)/60</x:f>
        <x:v>0</x:v>
      </x:c>
      <x:c r="H44" s="90" t="str">
        <x:v>15 Jun</x:v>
      </x:c>
      <x:c r="I44" s="95" t="n">
        <x:f>E44</x:f>
        <x:v>0</x:v>
      </x:c>
    </x:row>
    <x:row r="45">
      <x:c r="A45" s="77" t="n">
        <x:v>46189</x:v>
      </x:c>
      <x:c r="B45" s="78" t="n">
        <x:f>COUNTIFS('Usage Log'!$B$6:$B$85,"&gt;="&amp;A45,'Usage Log'!$B$6:$B$85,"&lt;"&amp;A45+1)</x:f>
        <x:v>0</x:v>
      </x:c>
      <x:c r="C45" s="78" t="n">
        <x:f>COUNTIFS('Usage Log'!$B$6:$B$85,"&gt;="&amp;A45,'Usage Log'!$B$6:$B$85,"&lt;"&amp;A45+1,'Usage Log'!$E$6:$E$85,"Direct")</x:f>
        <x:v>0</x:v>
      </x:c>
      <x:c r="D45" s="78" t="n">
        <x:f>COUNTIFS('Usage Log'!$B$6:$B$85,"&gt;="&amp;A45,'Usage Log'!$B$6:$B$85,"&lt;"&amp;A45+1,'Usage Log'!$E$6:$E$85,"Sub-agent")</x:f>
        <x:v>0</x:v>
      </x:c>
      <x:c r="E45" s="79" t="n">
        <x:f>SUMIFS('Usage Log'!$J$6:$J$85,'Usage Log'!$B$6:$B$85,"&gt;="&amp;A45,'Usage Log'!$B$6:$B$85,"&lt;"&amp;A45+1)</x:f>
        <x:v>0</x:v>
      </x:c>
      <x:c r="F45" s="79" t="n">
        <x:f>IF(B45=0,0,E45/B45)</x:f>
        <x:v>0</x:v>
      </x:c>
      <x:c r="G45" s="80" t="n">
        <x:f>SUMIFS('Usage Log'!$D$6:$D$85,'Usage Log'!$B$6:$B$85,"&gt;="&amp;A45,'Usage Log'!$B$6:$B$85,"&lt;"&amp;A45+1)/60</x:f>
        <x:v>0</x:v>
      </x:c>
      <x:c r="H45" s="90" t="str">
        <x:v>16 Jun</x:v>
      </x:c>
      <x:c r="I45" s="95" t="n">
        <x:f>E45</x:f>
        <x:v>0</x:v>
      </x:c>
    </x:row>
    <x:row r="46">
      <x:c r="A46" s="62" t="n">
        <x:v>46190</x:v>
      </x:c>
      <x:c r="B46" s="65" t="n">
        <x:f>COUNTIFS('Usage Log'!$B$6:$B$85,"&gt;="&amp;A46,'Usage Log'!$B$6:$B$85,"&lt;"&amp;A46+1)</x:f>
        <x:v>0</x:v>
      </x:c>
      <x:c r="C46" s="65" t="n">
        <x:f>COUNTIFS('Usage Log'!$B$6:$B$85,"&gt;="&amp;A46,'Usage Log'!$B$6:$B$85,"&lt;"&amp;A46+1,'Usage Log'!$E$6:$E$85,"Direct")</x:f>
        <x:v>0</x:v>
      </x:c>
      <x:c r="D46" s="65" t="n">
        <x:f>COUNTIFS('Usage Log'!$B$6:$B$85,"&gt;="&amp;A46,'Usage Log'!$B$6:$B$85,"&lt;"&amp;A46+1,'Usage Log'!$E$6:$E$85,"Sub-agent")</x:f>
        <x:v>0</x:v>
      </x:c>
      <x:c r="E46" s="68" t="n">
        <x:f>SUMIFS('Usage Log'!$J$6:$J$85,'Usage Log'!$B$6:$B$85,"&gt;="&amp;A46,'Usage Log'!$B$6:$B$85,"&lt;"&amp;A46+1)</x:f>
        <x:v>0</x:v>
      </x:c>
      <x:c r="F46" s="68" t="n">
        <x:f>IF(B46=0,0,E46/B46)</x:f>
        <x:v>0</x:v>
      </x:c>
      <x:c r="G46" s="71" t="n">
        <x:f>SUMIFS('Usage Log'!$D$6:$D$85,'Usage Log'!$B$6:$B$85,"&gt;="&amp;A46,'Usage Log'!$B$6:$B$85,"&lt;"&amp;A46+1)/60</x:f>
        <x:v>0</x:v>
      </x:c>
      <x:c r="H46" s="90" t="str">
        <x:v>17 Jun</x:v>
      </x:c>
      <x:c r="I46" s="95" t="n">
        <x:f>E46</x:f>
        <x:v>0</x:v>
      </x:c>
    </x:row>
    <x:row r="47">
      <x:c r="A47" s="77" t="n">
        <x:v>46191</x:v>
      </x:c>
      <x:c r="B47" s="78" t="n">
        <x:f>COUNTIFS('Usage Log'!$B$6:$B$85,"&gt;="&amp;A47,'Usage Log'!$B$6:$B$85,"&lt;"&amp;A47+1)</x:f>
        <x:v>0</x:v>
      </x:c>
      <x:c r="C47" s="78" t="n">
        <x:f>COUNTIFS('Usage Log'!$B$6:$B$85,"&gt;="&amp;A47,'Usage Log'!$B$6:$B$85,"&lt;"&amp;A47+1,'Usage Log'!$E$6:$E$85,"Direct")</x:f>
        <x:v>0</x:v>
      </x:c>
      <x:c r="D47" s="78" t="n">
        <x:f>COUNTIFS('Usage Log'!$B$6:$B$85,"&gt;="&amp;A47,'Usage Log'!$B$6:$B$85,"&lt;"&amp;A47+1,'Usage Log'!$E$6:$E$85,"Sub-agent")</x:f>
        <x:v>0</x:v>
      </x:c>
      <x:c r="E47" s="79" t="n">
        <x:f>SUMIFS('Usage Log'!$J$6:$J$85,'Usage Log'!$B$6:$B$85,"&gt;="&amp;A47,'Usage Log'!$B$6:$B$85,"&lt;"&amp;A47+1)</x:f>
        <x:v>0</x:v>
      </x:c>
      <x:c r="F47" s="79" t="n">
        <x:f>IF(B47=0,0,E47/B47)</x:f>
        <x:v>0</x:v>
      </x:c>
      <x:c r="G47" s="80" t="n">
        <x:f>SUMIFS('Usage Log'!$D$6:$D$85,'Usage Log'!$B$6:$B$85,"&gt;="&amp;A47,'Usage Log'!$B$6:$B$85,"&lt;"&amp;A47+1)/60</x:f>
        <x:v>0</x:v>
      </x:c>
      <x:c r="H47" s="90" t="str">
        <x:v>18 Jun</x:v>
      </x:c>
      <x:c r="I47" s="95" t="n">
        <x:f>E47</x:f>
        <x:v>0</x:v>
      </x:c>
    </x:row>
    <x:row r="48">
      <x:c r="A48" s="62" t="n">
        <x:v>46192</x:v>
      </x:c>
      <x:c r="B48" s="65" t="n">
        <x:f>COUNTIFS('Usage Log'!$B$6:$B$85,"&gt;="&amp;A48,'Usage Log'!$B$6:$B$85,"&lt;"&amp;A48+1)</x:f>
        <x:v>0</x:v>
      </x:c>
      <x:c r="C48" s="65" t="n">
        <x:f>COUNTIFS('Usage Log'!$B$6:$B$85,"&gt;="&amp;A48,'Usage Log'!$B$6:$B$85,"&lt;"&amp;A48+1,'Usage Log'!$E$6:$E$85,"Direct")</x:f>
        <x:v>0</x:v>
      </x:c>
      <x:c r="D48" s="65" t="n">
        <x:f>COUNTIFS('Usage Log'!$B$6:$B$85,"&gt;="&amp;A48,'Usage Log'!$B$6:$B$85,"&lt;"&amp;A48+1,'Usage Log'!$E$6:$E$85,"Sub-agent")</x:f>
        <x:v>0</x:v>
      </x:c>
      <x:c r="E48" s="68" t="n">
        <x:f>SUMIFS('Usage Log'!$J$6:$J$85,'Usage Log'!$B$6:$B$85,"&gt;="&amp;A48,'Usage Log'!$B$6:$B$85,"&lt;"&amp;A48+1)</x:f>
        <x:v>0</x:v>
      </x:c>
      <x:c r="F48" s="68" t="n">
        <x:f>IF(B48=0,0,E48/B48)</x:f>
        <x:v>0</x:v>
      </x:c>
      <x:c r="G48" s="71" t="n">
        <x:f>SUMIFS('Usage Log'!$D$6:$D$85,'Usage Log'!$B$6:$B$85,"&gt;="&amp;A48,'Usage Log'!$B$6:$B$85,"&lt;"&amp;A48+1)/60</x:f>
        <x:v>0</x:v>
      </x:c>
      <x:c r="H48" s="90" t="str">
        <x:v>19 Jun</x:v>
      </x:c>
      <x:c r="I48" s="95" t="n">
        <x:f>E48</x:f>
        <x:v>0</x:v>
      </x:c>
    </x:row>
    <x:row r="49">
      <x:c r="A49" s="77" t="n">
        <x:v>46193</x:v>
      </x:c>
      <x:c r="B49" s="78" t="n">
        <x:f>COUNTIFS('Usage Log'!$B$6:$B$85,"&gt;="&amp;A49,'Usage Log'!$B$6:$B$85,"&lt;"&amp;A49+1)</x:f>
        <x:v>0</x:v>
      </x:c>
      <x:c r="C49" s="78" t="n">
        <x:f>COUNTIFS('Usage Log'!$B$6:$B$85,"&gt;="&amp;A49,'Usage Log'!$B$6:$B$85,"&lt;"&amp;A49+1,'Usage Log'!$E$6:$E$85,"Direct")</x:f>
        <x:v>0</x:v>
      </x:c>
      <x:c r="D49" s="78" t="n">
        <x:f>COUNTIFS('Usage Log'!$B$6:$B$85,"&gt;="&amp;A49,'Usage Log'!$B$6:$B$85,"&lt;"&amp;A49+1,'Usage Log'!$E$6:$E$85,"Sub-agent")</x:f>
        <x:v>0</x:v>
      </x:c>
      <x:c r="E49" s="79" t="n">
        <x:f>SUMIFS('Usage Log'!$J$6:$J$85,'Usage Log'!$B$6:$B$85,"&gt;="&amp;A49,'Usage Log'!$B$6:$B$85,"&lt;"&amp;A49+1)</x:f>
        <x:v>0</x:v>
      </x:c>
      <x:c r="F49" s="79" t="n">
        <x:f>IF(B49=0,0,E49/B49)</x:f>
        <x:v>0</x:v>
      </x:c>
      <x:c r="G49" s="80" t="n">
        <x:f>SUMIFS('Usage Log'!$D$6:$D$85,'Usage Log'!$B$6:$B$85,"&gt;="&amp;A49,'Usage Log'!$B$6:$B$85,"&lt;"&amp;A49+1)/60</x:f>
        <x:v>0</x:v>
      </x:c>
      <x:c r="H49" s="90" t="str">
        <x:v>20 Jun</x:v>
      </x:c>
      <x:c r="I49" s="95" t="n">
        <x:f>E49</x:f>
        <x:v>0</x:v>
      </x:c>
    </x:row>
    <x:row r="50">
      <x:c r="A50" s="62" t="n">
        <x:v>46194</x:v>
      </x:c>
      <x:c r="B50" s="65" t="n">
        <x:f>COUNTIFS('Usage Log'!$B$6:$B$85,"&gt;="&amp;A50,'Usage Log'!$B$6:$B$85,"&lt;"&amp;A50+1)</x:f>
        <x:v>0</x:v>
      </x:c>
      <x:c r="C50" s="65" t="n">
        <x:f>COUNTIFS('Usage Log'!$B$6:$B$85,"&gt;="&amp;A50,'Usage Log'!$B$6:$B$85,"&lt;"&amp;A50+1,'Usage Log'!$E$6:$E$85,"Direct")</x:f>
        <x:v>0</x:v>
      </x:c>
      <x:c r="D50" s="65" t="n">
        <x:f>COUNTIFS('Usage Log'!$B$6:$B$85,"&gt;="&amp;A50,'Usage Log'!$B$6:$B$85,"&lt;"&amp;A50+1,'Usage Log'!$E$6:$E$85,"Sub-agent")</x:f>
        <x:v>0</x:v>
      </x:c>
      <x:c r="E50" s="68" t="n">
        <x:f>SUMIFS('Usage Log'!$J$6:$J$85,'Usage Log'!$B$6:$B$85,"&gt;="&amp;A50,'Usage Log'!$B$6:$B$85,"&lt;"&amp;A50+1)</x:f>
        <x:v>0</x:v>
      </x:c>
      <x:c r="F50" s="68" t="n">
        <x:f>IF(B50=0,0,E50/B50)</x:f>
        <x:v>0</x:v>
      </x:c>
      <x:c r="G50" s="71" t="n">
        <x:f>SUMIFS('Usage Log'!$D$6:$D$85,'Usage Log'!$B$6:$B$85,"&gt;="&amp;A50,'Usage Log'!$B$6:$B$85,"&lt;"&amp;A50+1)/60</x:f>
        <x:v>0</x:v>
      </x:c>
      <x:c r="H50" s="90" t="str">
        <x:v>21 Jun</x:v>
      </x:c>
      <x:c r="I50" s="95" t="n">
        <x:f>E50</x:f>
        <x:v>0</x:v>
      </x:c>
    </x:row>
    <x:row r="51">
      <x:c r="A51" s="77" t="n">
        <x:v>46195</x:v>
      </x:c>
      <x:c r="B51" s="78" t="n">
        <x:f>COUNTIFS('Usage Log'!$B$6:$B$85,"&gt;="&amp;A51,'Usage Log'!$B$6:$B$85,"&lt;"&amp;A51+1)</x:f>
        <x:v>0</x:v>
      </x:c>
      <x:c r="C51" s="78" t="n">
        <x:f>COUNTIFS('Usage Log'!$B$6:$B$85,"&gt;="&amp;A51,'Usage Log'!$B$6:$B$85,"&lt;"&amp;A51+1,'Usage Log'!$E$6:$E$85,"Direct")</x:f>
        <x:v>0</x:v>
      </x:c>
      <x:c r="D51" s="78" t="n">
        <x:f>COUNTIFS('Usage Log'!$B$6:$B$85,"&gt;="&amp;A51,'Usage Log'!$B$6:$B$85,"&lt;"&amp;A51+1,'Usage Log'!$E$6:$E$85,"Sub-agent")</x:f>
        <x:v>0</x:v>
      </x:c>
      <x:c r="E51" s="79" t="n">
        <x:f>SUMIFS('Usage Log'!$J$6:$J$85,'Usage Log'!$B$6:$B$85,"&gt;="&amp;A51,'Usage Log'!$B$6:$B$85,"&lt;"&amp;A51+1)</x:f>
        <x:v>0</x:v>
      </x:c>
      <x:c r="F51" s="79" t="n">
        <x:f>IF(B51=0,0,E51/B51)</x:f>
        <x:v>0</x:v>
      </x:c>
      <x:c r="G51" s="80" t="n">
        <x:f>SUMIFS('Usage Log'!$D$6:$D$85,'Usage Log'!$B$6:$B$85,"&gt;="&amp;A51,'Usage Log'!$B$6:$B$85,"&lt;"&amp;A51+1)/60</x:f>
        <x:v>0</x:v>
      </x:c>
      <x:c r="H51" s="90" t="str">
        <x:v>22 Jun</x:v>
      </x:c>
      <x:c r="I51" s="95" t="n">
        <x:f>E51</x:f>
        <x:v>0</x:v>
      </x:c>
    </x:row>
    <x:row r="52">
      <x:c r="A52" s="62" t="n">
        <x:v>46196</x:v>
      </x:c>
      <x:c r="B52" s="65" t="n">
        <x:f>COUNTIFS('Usage Log'!$B$6:$B$85,"&gt;="&amp;A52,'Usage Log'!$B$6:$B$85,"&lt;"&amp;A52+1)</x:f>
        <x:v>0</x:v>
      </x:c>
      <x:c r="C52" s="65" t="n">
        <x:f>COUNTIFS('Usage Log'!$B$6:$B$85,"&gt;="&amp;A52,'Usage Log'!$B$6:$B$85,"&lt;"&amp;A52+1,'Usage Log'!$E$6:$E$85,"Direct")</x:f>
        <x:v>0</x:v>
      </x:c>
      <x:c r="D52" s="65" t="n">
        <x:f>COUNTIFS('Usage Log'!$B$6:$B$85,"&gt;="&amp;A52,'Usage Log'!$B$6:$B$85,"&lt;"&amp;A52+1,'Usage Log'!$E$6:$E$85,"Sub-agent")</x:f>
        <x:v>0</x:v>
      </x:c>
      <x:c r="E52" s="68" t="n">
        <x:f>SUMIFS('Usage Log'!$J$6:$J$85,'Usage Log'!$B$6:$B$85,"&gt;="&amp;A52,'Usage Log'!$B$6:$B$85,"&lt;"&amp;A52+1)</x:f>
        <x:v>0</x:v>
      </x:c>
      <x:c r="F52" s="68" t="n">
        <x:f>IF(B52=0,0,E52/B52)</x:f>
        <x:v>0</x:v>
      </x:c>
      <x:c r="G52" s="71" t="n">
        <x:f>SUMIFS('Usage Log'!$D$6:$D$85,'Usage Log'!$B$6:$B$85,"&gt;="&amp;A52,'Usage Log'!$B$6:$B$85,"&lt;"&amp;A52+1)/60</x:f>
        <x:v>0</x:v>
      </x:c>
      <x:c r="H52" s="90" t="str">
        <x:v>23 Jun</x:v>
      </x:c>
      <x:c r="I52" s="95" t="n">
        <x:f>E52</x:f>
        <x:v>0</x:v>
      </x:c>
    </x:row>
    <x:row r="53">
      <x:c r="A53" s="77" t="n">
        <x:v>46197</x:v>
      </x:c>
      <x:c r="B53" s="78" t="n">
        <x:f>COUNTIFS('Usage Log'!$B$6:$B$85,"&gt;="&amp;A53,'Usage Log'!$B$6:$B$85,"&lt;"&amp;A53+1)</x:f>
        <x:v>0</x:v>
      </x:c>
      <x:c r="C53" s="78" t="n">
        <x:f>COUNTIFS('Usage Log'!$B$6:$B$85,"&gt;="&amp;A53,'Usage Log'!$B$6:$B$85,"&lt;"&amp;A53+1,'Usage Log'!$E$6:$E$85,"Direct")</x:f>
        <x:v>0</x:v>
      </x:c>
      <x:c r="D53" s="78" t="n">
        <x:f>COUNTIFS('Usage Log'!$B$6:$B$85,"&gt;="&amp;A53,'Usage Log'!$B$6:$B$85,"&lt;"&amp;A53+1,'Usage Log'!$E$6:$E$85,"Sub-agent")</x:f>
        <x:v>0</x:v>
      </x:c>
      <x:c r="E53" s="79" t="n">
        <x:f>SUMIFS('Usage Log'!$J$6:$J$85,'Usage Log'!$B$6:$B$85,"&gt;="&amp;A53,'Usage Log'!$B$6:$B$85,"&lt;"&amp;A53+1)</x:f>
        <x:v>0</x:v>
      </x:c>
      <x:c r="F53" s="79" t="n">
        <x:f>IF(B53=0,0,E53/B53)</x:f>
        <x:v>0</x:v>
      </x:c>
      <x:c r="G53" s="80" t="n">
        <x:f>SUMIFS('Usage Log'!$D$6:$D$85,'Usage Log'!$B$6:$B$85,"&gt;="&amp;A53,'Usage Log'!$B$6:$B$85,"&lt;"&amp;A53+1)/60</x:f>
        <x:v>0</x:v>
      </x:c>
      <x:c r="H53" s="90" t="str">
        <x:v>24 Jun</x:v>
      </x:c>
      <x:c r="I53" s="95" t="n">
        <x:f>E53</x:f>
        <x:v>0</x:v>
      </x:c>
    </x:row>
    <x:row r="54">
      <x:c r="A54" s="62" t="n">
        <x:v>46198</x:v>
      </x:c>
      <x:c r="B54" s="65" t="n">
        <x:f>COUNTIFS('Usage Log'!$B$6:$B$85,"&gt;="&amp;A54,'Usage Log'!$B$6:$B$85,"&lt;"&amp;A54+1)</x:f>
        <x:v>0</x:v>
      </x:c>
      <x:c r="C54" s="65" t="n">
        <x:f>COUNTIFS('Usage Log'!$B$6:$B$85,"&gt;="&amp;A54,'Usage Log'!$B$6:$B$85,"&lt;"&amp;A54+1,'Usage Log'!$E$6:$E$85,"Direct")</x:f>
        <x:v>0</x:v>
      </x:c>
      <x:c r="D54" s="65" t="n">
        <x:f>COUNTIFS('Usage Log'!$B$6:$B$85,"&gt;="&amp;A54,'Usage Log'!$B$6:$B$85,"&lt;"&amp;A54+1,'Usage Log'!$E$6:$E$85,"Sub-agent")</x:f>
        <x:v>0</x:v>
      </x:c>
      <x:c r="E54" s="68" t="n">
        <x:f>SUMIFS('Usage Log'!$J$6:$J$85,'Usage Log'!$B$6:$B$85,"&gt;="&amp;A54,'Usage Log'!$B$6:$B$85,"&lt;"&amp;A54+1)</x:f>
        <x:v>0</x:v>
      </x:c>
      <x:c r="F54" s="68" t="n">
        <x:f>IF(B54=0,0,E54/B54)</x:f>
        <x:v>0</x:v>
      </x:c>
      <x:c r="G54" s="71" t="n">
        <x:f>SUMIFS('Usage Log'!$D$6:$D$85,'Usage Log'!$B$6:$B$85,"&gt;="&amp;A54,'Usage Log'!$B$6:$B$85,"&lt;"&amp;A54+1)/60</x:f>
        <x:v>0</x:v>
      </x:c>
      <x:c r="H54" s="90" t="str">
        <x:v>25 Jun</x:v>
      </x:c>
      <x:c r="I54" s="95" t="n">
        <x:f>E54</x:f>
        <x:v>0</x:v>
      </x:c>
    </x:row>
    <x:row r="55">
      <x:c r="A55" s="77" t="n">
        <x:v>46199</x:v>
      </x:c>
      <x:c r="B55" s="78" t="n">
        <x:f>COUNTIFS('Usage Log'!$B$6:$B$85,"&gt;="&amp;A55,'Usage Log'!$B$6:$B$85,"&lt;"&amp;A55+1)</x:f>
        <x:v>0</x:v>
      </x:c>
      <x:c r="C55" s="78" t="n">
        <x:f>COUNTIFS('Usage Log'!$B$6:$B$85,"&gt;="&amp;A55,'Usage Log'!$B$6:$B$85,"&lt;"&amp;A55+1,'Usage Log'!$E$6:$E$85,"Direct")</x:f>
        <x:v>0</x:v>
      </x:c>
      <x:c r="D55" s="78" t="n">
        <x:f>COUNTIFS('Usage Log'!$B$6:$B$85,"&gt;="&amp;A55,'Usage Log'!$B$6:$B$85,"&lt;"&amp;A55+1,'Usage Log'!$E$6:$E$85,"Sub-agent")</x:f>
        <x:v>0</x:v>
      </x:c>
      <x:c r="E55" s="79" t="n">
        <x:f>SUMIFS('Usage Log'!$J$6:$J$85,'Usage Log'!$B$6:$B$85,"&gt;="&amp;A55,'Usage Log'!$B$6:$B$85,"&lt;"&amp;A55+1)</x:f>
        <x:v>0</x:v>
      </x:c>
      <x:c r="F55" s="79" t="n">
        <x:f>IF(B55=0,0,E55/B55)</x:f>
        <x:v>0</x:v>
      </x:c>
      <x:c r="G55" s="80" t="n">
        <x:f>SUMIFS('Usage Log'!$D$6:$D$85,'Usage Log'!$B$6:$B$85,"&gt;="&amp;A55,'Usage Log'!$B$6:$B$85,"&lt;"&amp;A55+1)/60</x:f>
        <x:v>0</x:v>
      </x:c>
      <x:c r="H55" s="90" t="str">
        <x:v>26 Jun</x:v>
      </x:c>
      <x:c r="I55" s="95" t="n">
        <x:f>E55</x:f>
        <x:v>0</x:v>
      </x:c>
    </x:row>
    <x:row r="56">
      <x:c r="A56" s="62" t="n">
        <x:v>46200</x:v>
      </x:c>
      <x:c r="B56" s="65" t="n">
        <x:f>COUNTIFS('Usage Log'!$B$6:$B$85,"&gt;="&amp;A56,'Usage Log'!$B$6:$B$85,"&lt;"&amp;A56+1)</x:f>
        <x:v>0</x:v>
      </x:c>
      <x:c r="C56" s="65" t="n">
        <x:f>COUNTIFS('Usage Log'!$B$6:$B$85,"&gt;="&amp;A56,'Usage Log'!$B$6:$B$85,"&lt;"&amp;A56+1,'Usage Log'!$E$6:$E$85,"Direct")</x:f>
        <x:v>0</x:v>
      </x:c>
      <x:c r="D56" s="65" t="n">
        <x:f>COUNTIFS('Usage Log'!$B$6:$B$85,"&gt;="&amp;A56,'Usage Log'!$B$6:$B$85,"&lt;"&amp;A56+1,'Usage Log'!$E$6:$E$85,"Sub-agent")</x:f>
        <x:v>0</x:v>
      </x:c>
      <x:c r="E56" s="68" t="n">
        <x:f>SUMIFS('Usage Log'!$J$6:$J$85,'Usage Log'!$B$6:$B$85,"&gt;="&amp;A56,'Usage Log'!$B$6:$B$85,"&lt;"&amp;A56+1)</x:f>
        <x:v>0</x:v>
      </x:c>
      <x:c r="F56" s="68" t="n">
        <x:f>IF(B56=0,0,E56/B56)</x:f>
        <x:v>0</x:v>
      </x:c>
      <x:c r="G56" s="71" t="n">
        <x:f>SUMIFS('Usage Log'!$D$6:$D$85,'Usage Log'!$B$6:$B$85,"&gt;="&amp;A56,'Usage Log'!$B$6:$B$85,"&lt;"&amp;A56+1)/60</x:f>
        <x:v>0</x:v>
      </x:c>
      <x:c r="H56" s="90" t="str">
        <x:v>27 Jun</x:v>
      </x:c>
      <x:c r="I56" s="95" t="n">
        <x:f>E56</x:f>
        <x:v>0</x:v>
      </x:c>
    </x:row>
    <x:row r="57">
      <x:c r="A57" s="77" t="n">
        <x:v>46201</x:v>
      </x:c>
      <x:c r="B57" s="78" t="n">
        <x:f>COUNTIFS('Usage Log'!$B$6:$B$85,"&gt;="&amp;A57,'Usage Log'!$B$6:$B$85,"&lt;"&amp;A57+1)</x:f>
        <x:v>0</x:v>
      </x:c>
      <x:c r="C57" s="78" t="n">
        <x:f>COUNTIFS('Usage Log'!$B$6:$B$85,"&gt;="&amp;A57,'Usage Log'!$B$6:$B$85,"&lt;"&amp;A57+1,'Usage Log'!$E$6:$E$85,"Direct")</x:f>
        <x:v>0</x:v>
      </x:c>
      <x:c r="D57" s="78" t="n">
        <x:f>COUNTIFS('Usage Log'!$B$6:$B$85,"&gt;="&amp;A57,'Usage Log'!$B$6:$B$85,"&lt;"&amp;A57+1,'Usage Log'!$E$6:$E$85,"Sub-agent")</x:f>
        <x:v>0</x:v>
      </x:c>
      <x:c r="E57" s="79" t="n">
        <x:f>SUMIFS('Usage Log'!$J$6:$J$85,'Usage Log'!$B$6:$B$85,"&gt;="&amp;A57,'Usage Log'!$B$6:$B$85,"&lt;"&amp;A57+1)</x:f>
        <x:v>0</x:v>
      </x:c>
      <x:c r="F57" s="79" t="n">
        <x:f>IF(B57=0,0,E57/B57)</x:f>
        <x:v>0</x:v>
      </x:c>
      <x:c r="G57" s="80" t="n">
        <x:f>SUMIFS('Usage Log'!$D$6:$D$85,'Usage Log'!$B$6:$B$85,"&gt;="&amp;A57,'Usage Log'!$B$6:$B$85,"&lt;"&amp;A57+1)/60</x:f>
        <x:v>0</x:v>
      </x:c>
      <x:c r="H57" s="90" t="str">
        <x:v>28 Jun</x:v>
      </x:c>
      <x:c r="I57" s="95" t="n">
        <x:f>E57</x:f>
        <x:v>0</x:v>
      </x:c>
    </x:row>
    <x:row r="58">
      <x:c r="A58" s="62" t="n">
        <x:v>46202</x:v>
      </x:c>
      <x:c r="B58" s="65" t="n">
        <x:f>COUNTIFS('Usage Log'!$B$6:$B$85,"&gt;="&amp;A58,'Usage Log'!$B$6:$B$85,"&lt;"&amp;A58+1)</x:f>
        <x:v>0</x:v>
      </x:c>
      <x:c r="C58" s="65" t="n">
        <x:f>COUNTIFS('Usage Log'!$B$6:$B$85,"&gt;="&amp;A58,'Usage Log'!$B$6:$B$85,"&lt;"&amp;A58+1,'Usage Log'!$E$6:$E$85,"Direct")</x:f>
        <x:v>0</x:v>
      </x:c>
      <x:c r="D58" s="65" t="n">
        <x:f>COUNTIFS('Usage Log'!$B$6:$B$85,"&gt;="&amp;A58,'Usage Log'!$B$6:$B$85,"&lt;"&amp;A58+1,'Usage Log'!$E$6:$E$85,"Sub-agent")</x:f>
        <x:v>0</x:v>
      </x:c>
      <x:c r="E58" s="68" t="n">
        <x:f>SUMIFS('Usage Log'!$J$6:$J$85,'Usage Log'!$B$6:$B$85,"&gt;="&amp;A58,'Usage Log'!$B$6:$B$85,"&lt;"&amp;A58+1)</x:f>
        <x:v>0</x:v>
      </x:c>
      <x:c r="F58" s="68" t="n">
        <x:f>IF(B58=0,0,E58/B58)</x:f>
        <x:v>0</x:v>
      </x:c>
      <x:c r="G58" s="71" t="n">
        <x:f>SUMIFS('Usage Log'!$D$6:$D$85,'Usage Log'!$B$6:$B$85,"&gt;="&amp;A58,'Usage Log'!$B$6:$B$85,"&lt;"&amp;A58+1)/60</x:f>
        <x:v>0</x:v>
      </x:c>
      <x:c r="H58" s="90" t="str">
        <x:v>29 Jun</x:v>
      </x:c>
      <x:c r="I58" s="95" t="n">
        <x:f>E58</x:f>
        <x:v>0</x:v>
      </x:c>
    </x:row>
    <x:row r="59">
      <x:c r="A59" s="77" t="n">
        <x:v>46203</x:v>
      </x:c>
      <x:c r="B59" s="78" t="n">
        <x:f>COUNTIFS('Usage Log'!$B$6:$B$85,"&gt;="&amp;A59,'Usage Log'!$B$6:$B$85,"&lt;"&amp;A59+1)</x:f>
        <x:v>0</x:v>
      </x:c>
      <x:c r="C59" s="78" t="n">
        <x:f>COUNTIFS('Usage Log'!$B$6:$B$85,"&gt;="&amp;A59,'Usage Log'!$B$6:$B$85,"&lt;"&amp;A59+1,'Usage Log'!$E$6:$E$85,"Direct")</x:f>
        <x:v>0</x:v>
      </x:c>
      <x:c r="D59" s="78" t="n">
        <x:f>COUNTIFS('Usage Log'!$B$6:$B$85,"&gt;="&amp;A59,'Usage Log'!$B$6:$B$85,"&lt;"&amp;A59+1,'Usage Log'!$E$6:$E$85,"Sub-agent")</x:f>
        <x:v>0</x:v>
      </x:c>
      <x:c r="E59" s="79" t="n">
        <x:f>SUMIFS('Usage Log'!$J$6:$J$85,'Usage Log'!$B$6:$B$85,"&gt;="&amp;A59,'Usage Log'!$B$6:$B$85,"&lt;"&amp;A59+1)</x:f>
        <x:v>0</x:v>
      </x:c>
      <x:c r="F59" s="79" t="n">
        <x:f>IF(B59=0,0,E59/B59)</x:f>
        <x:v>0</x:v>
      </x:c>
      <x:c r="G59" s="80" t="n">
        <x:f>SUMIFS('Usage Log'!$D$6:$D$85,'Usage Log'!$B$6:$B$85,"&gt;="&amp;A59,'Usage Log'!$B$6:$B$85,"&lt;"&amp;A59+1)/60</x:f>
        <x:v>0</x:v>
      </x:c>
      <x:c r="H59" s="90" t="str">
        <x:v>30 Jun</x:v>
      </x:c>
      <x:c r="I59" s="95" t="n">
        <x:f>E59</x:f>
        <x:v>0</x:v>
      </x:c>
    </x:row>
    <x:row r="60">
      <x:c r="A60" s="62" t="n">
        <x:v>46204</x:v>
      </x:c>
      <x:c r="B60" s="65" t="n">
        <x:f>COUNTIFS('Usage Log'!$B$6:$B$85,"&gt;="&amp;A60,'Usage Log'!$B$6:$B$85,"&lt;"&amp;A60+1)</x:f>
        <x:v>0</x:v>
      </x:c>
      <x:c r="C60" s="65" t="n">
        <x:f>COUNTIFS('Usage Log'!$B$6:$B$85,"&gt;="&amp;A60,'Usage Log'!$B$6:$B$85,"&lt;"&amp;A60+1,'Usage Log'!$E$6:$E$85,"Direct")</x:f>
        <x:v>0</x:v>
      </x:c>
      <x:c r="D60" s="65" t="n">
        <x:f>COUNTIFS('Usage Log'!$B$6:$B$85,"&gt;="&amp;A60,'Usage Log'!$B$6:$B$85,"&lt;"&amp;A60+1,'Usage Log'!$E$6:$E$85,"Sub-agent")</x:f>
        <x:v>0</x:v>
      </x:c>
      <x:c r="E60" s="68" t="n">
        <x:f>SUMIFS('Usage Log'!$J$6:$J$85,'Usage Log'!$B$6:$B$85,"&gt;="&amp;A60,'Usage Log'!$B$6:$B$85,"&lt;"&amp;A60+1)</x:f>
        <x:v>0</x:v>
      </x:c>
      <x:c r="F60" s="68" t="n">
        <x:f>IF(B60=0,0,E60/B60)</x:f>
        <x:v>0</x:v>
      </x:c>
      <x:c r="G60" s="71" t="n">
        <x:f>SUMIFS('Usage Log'!$D$6:$D$85,'Usage Log'!$B$6:$B$85,"&gt;="&amp;A60,'Usage Log'!$B$6:$B$85,"&lt;"&amp;A60+1)/60</x:f>
        <x:v>0</x:v>
      </x:c>
      <x:c r="H60" s="90" t="str">
        <x:v>01 Jul</x:v>
      </x:c>
      <x:c r="I60" s="95" t="n">
        <x:f>E60</x:f>
        <x:v>0</x:v>
      </x:c>
    </x:row>
    <x:row r="61">
      <x:c r="A61" s="77" t="n">
        <x:v>46205</x:v>
      </x:c>
      <x:c r="B61" s="78" t="n">
        <x:f>COUNTIFS('Usage Log'!$B$6:$B$85,"&gt;="&amp;A61,'Usage Log'!$B$6:$B$85,"&lt;"&amp;A61+1)</x:f>
        <x:v>0</x:v>
      </x:c>
      <x:c r="C61" s="78" t="n">
        <x:f>COUNTIFS('Usage Log'!$B$6:$B$85,"&gt;="&amp;A61,'Usage Log'!$B$6:$B$85,"&lt;"&amp;A61+1,'Usage Log'!$E$6:$E$85,"Direct")</x:f>
        <x:v>0</x:v>
      </x:c>
      <x:c r="D61" s="78" t="n">
        <x:f>COUNTIFS('Usage Log'!$B$6:$B$85,"&gt;="&amp;A61,'Usage Log'!$B$6:$B$85,"&lt;"&amp;A61+1,'Usage Log'!$E$6:$E$85,"Sub-agent")</x:f>
        <x:v>0</x:v>
      </x:c>
      <x:c r="E61" s="79" t="n">
        <x:f>SUMIFS('Usage Log'!$J$6:$J$85,'Usage Log'!$B$6:$B$85,"&gt;="&amp;A61,'Usage Log'!$B$6:$B$85,"&lt;"&amp;A61+1)</x:f>
        <x:v>0</x:v>
      </x:c>
      <x:c r="F61" s="79" t="n">
        <x:f>IF(B61=0,0,E61/B61)</x:f>
        <x:v>0</x:v>
      </x:c>
      <x:c r="G61" s="80" t="n">
        <x:f>SUMIFS('Usage Log'!$D$6:$D$85,'Usage Log'!$B$6:$B$85,"&gt;="&amp;A61,'Usage Log'!$B$6:$B$85,"&lt;"&amp;A61+1)/60</x:f>
        <x:v>0</x:v>
      </x:c>
      <x:c r="H61" s="90" t="str">
        <x:v>02 Jul</x:v>
      </x:c>
      <x:c r="I61" s="95" t="n">
        <x:f>E61</x:f>
        <x:v>0</x:v>
      </x:c>
    </x:row>
    <x:row r="62">
      <x:c r="A62" s="62" t="n">
        <x:v>46206</x:v>
      </x:c>
      <x:c r="B62" s="65" t="n">
        <x:f>COUNTIFS('Usage Log'!$B$6:$B$85,"&gt;="&amp;A62,'Usage Log'!$B$6:$B$85,"&lt;"&amp;A62+1)</x:f>
        <x:v>0</x:v>
      </x:c>
      <x:c r="C62" s="65" t="n">
        <x:f>COUNTIFS('Usage Log'!$B$6:$B$85,"&gt;="&amp;A62,'Usage Log'!$B$6:$B$85,"&lt;"&amp;A62+1,'Usage Log'!$E$6:$E$85,"Direct")</x:f>
        <x:v>0</x:v>
      </x:c>
      <x:c r="D62" s="65" t="n">
        <x:f>COUNTIFS('Usage Log'!$B$6:$B$85,"&gt;="&amp;A62,'Usage Log'!$B$6:$B$85,"&lt;"&amp;A62+1,'Usage Log'!$E$6:$E$85,"Sub-agent")</x:f>
        <x:v>0</x:v>
      </x:c>
      <x:c r="E62" s="68" t="n">
        <x:f>SUMIFS('Usage Log'!$J$6:$J$85,'Usage Log'!$B$6:$B$85,"&gt;="&amp;A62,'Usage Log'!$B$6:$B$85,"&lt;"&amp;A62+1)</x:f>
        <x:v>0</x:v>
      </x:c>
      <x:c r="F62" s="68" t="n">
        <x:f>IF(B62=0,0,E62/B62)</x:f>
        <x:v>0</x:v>
      </x:c>
      <x:c r="G62" s="71" t="n">
        <x:f>SUMIFS('Usage Log'!$D$6:$D$85,'Usage Log'!$B$6:$B$85,"&gt;="&amp;A62,'Usage Log'!$B$6:$B$85,"&lt;"&amp;A62+1)/60</x:f>
        <x:v>0</x:v>
      </x:c>
      <x:c r="H62" s="90" t="str">
        <x:v>03 Jul</x:v>
      </x:c>
      <x:c r="I62" s="95" t="n">
        <x:f>E62</x:f>
        <x:v>0</x:v>
      </x:c>
    </x:row>
    <x:row r="63">
      <x:c r="A63" s="77" t="n">
        <x:v>46207</x:v>
      </x:c>
      <x:c r="B63" s="78" t="n">
        <x:f>COUNTIFS('Usage Log'!$B$6:$B$85,"&gt;="&amp;A63,'Usage Log'!$B$6:$B$85,"&lt;"&amp;A63+1)</x:f>
        <x:v>0</x:v>
      </x:c>
      <x:c r="C63" s="78" t="n">
        <x:f>COUNTIFS('Usage Log'!$B$6:$B$85,"&gt;="&amp;A63,'Usage Log'!$B$6:$B$85,"&lt;"&amp;A63+1,'Usage Log'!$E$6:$E$85,"Direct")</x:f>
        <x:v>0</x:v>
      </x:c>
      <x:c r="D63" s="78" t="n">
        <x:f>COUNTIFS('Usage Log'!$B$6:$B$85,"&gt;="&amp;A63,'Usage Log'!$B$6:$B$85,"&lt;"&amp;A63+1,'Usage Log'!$E$6:$E$85,"Sub-agent")</x:f>
        <x:v>0</x:v>
      </x:c>
      <x:c r="E63" s="79" t="n">
        <x:f>SUMIFS('Usage Log'!$J$6:$J$85,'Usage Log'!$B$6:$B$85,"&gt;="&amp;A63,'Usage Log'!$B$6:$B$85,"&lt;"&amp;A63+1)</x:f>
        <x:v>0</x:v>
      </x:c>
      <x:c r="F63" s="79" t="n">
        <x:f>IF(B63=0,0,E63/B63)</x:f>
        <x:v>0</x:v>
      </x:c>
      <x:c r="G63" s="80" t="n">
        <x:f>SUMIFS('Usage Log'!$D$6:$D$85,'Usage Log'!$B$6:$B$85,"&gt;="&amp;A63,'Usage Log'!$B$6:$B$85,"&lt;"&amp;A63+1)/60</x:f>
        <x:v>0</x:v>
      </x:c>
      <x:c r="H63" s="90" t="str">
        <x:v>04 Jul</x:v>
      </x:c>
      <x:c r="I63" s="95" t="n">
        <x:f>E63</x:f>
        <x:v>0</x:v>
      </x:c>
    </x:row>
    <x:row r="64">
      <x:c r="A64" s="62" t="n">
        <x:v>46208</x:v>
      </x:c>
      <x:c r="B64" s="65" t="n">
        <x:f>COUNTIFS('Usage Log'!$B$6:$B$85,"&gt;="&amp;A64,'Usage Log'!$B$6:$B$85,"&lt;"&amp;A64+1)</x:f>
        <x:v>0</x:v>
      </x:c>
      <x:c r="C64" s="65" t="n">
        <x:f>COUNTIFS('Usage Log'!$B$6:$B$85,"&gt;="&amp;A64,'Usage Log'!$B$6:$B$85,"&lt;"&amp;A64+1,'Usage Log'!$E$6:$E$85,"Direct")</x:f>
        <x:v>0</x:v>
      </x:c>
      <x:c r="D64" s="65" t="n">
        <x:f>COUNTIFS('Usage Log'!$B$6:$B$85,"&gt;="&amp;A64,'Usage Log'!$B$6:$B$85,"&lt;"&amp;A64+1,'Usage Log'!$E$6:$E$85,"Sub-agent")</x:f>
        <x:v>0</x:v>
      </x:c>
      <x:c r="E64" s="68" t="n">
        <x:f>SUMIFS('Usage Log'!$J$6:$J$85,'Usage Log'!$B$6:$B$85,"&gt;="&amp;A64,'Usage Log'!$B$6:$B$85,"&lt;"&amp;A64+1)</x:f>
        <x:v>0</x:v>
      </x:c>
      <x:c r="F64" s="68" t="n">
        <x:f>IF(B64=0,0,E64/B64)</x:f>
        <x:v>0</x:v>
      </x:c>
      <x:c r="G64" s="71" t="n">
        <x:f>SUMIFS('Usage Log'!$D$6:$D$85,'Usage Log'!$B$6:$B$85,"&gt;="&amp;A64,'Usage Log'!$B$6:$B$85,"&lt;"&amp;A64+1)/60</x:f>
        <x:v>0</x:v>
      </x:c>
      <x:c r="H64" s="90" t="str">
        <x:v>05 Jul</x:v>
      </x:c>
      <x:c r="I64" s="95" t="n">
        <x:f>E64</x:f>
        <x:v>0</x:v>
      </x:c>
    </x:row>
    <x:row r="65">
      <x:c r="A65" s="77" t="n">
        <x:v>46209</x:v>
      </x:c>
      <x:c r="B65" s="78" t="n">
        <x:f>COUNTIFS('Usage Log'!$B$6:$B$85,"&gt;="&amp;A65,'Usage Log'!$B$6:$B$85,"&lt;"&amp;A65+1)</x:f>
        <x:v>2</x:v>
      </x:c>
      <x:c r="C65" s="78" t="n">
        <x:f>COUNTIFS('Usage Log'!$B$6:$B$85,"&gt;="&amp;A65,'Usage Log'!$B$6:$B$85,"&lt;"&amp;A65+1,'Usage Log'!$E$6:$E$85,"Direct")</x:f>
        <x:v>1</x:v>
      </x:c>
      <x:c r="D65" s="78" t="n">
        <x:f>COUNTIFS('Usage Log'!$B$6:$B$85,"&gt;="&amp;A65,'Usage Log'!$B$6:$B$85,"&lt;"&amp;A65+1,'Usage Log'!$E$6:$E$85,"Sub-agent")</x:f>
        <x:v>1</x:v>
      </x:c>
      <x:c r="E65" s="79" t="n">
        <x:f>SUMIFS('Usage Log'!$J$6:$J$85,'Usage Log'!$B$6:$B$85,"&gt;="&amp;A65,'Usage Log'!$B$6:$B$85,"&lt;"&amp;A65+1)</x:f>
        <x:v>26824067</x:v>
      </x:c>
      <x:c r="F65" s="79" t="n">
        <x:f>IF(B65=0,0,E65/B65)</x:f>
        <x:v>13412033.5</x:v>
      </x:c>
      <x:c r="G65" s="80" t="n">
        <x:f>SUMIFS('Usage Log'!$D$6:$D$85,'Usage Log'!$B$6:$B$85,"&gt;="&amp;A65,'Usage Log'!$B$6:$B$85,"&lt;"&amp;A65+1)/60</x:f>
        <x:v>3.9586111111566424</x:v>
      </x:c>
      <x:c r="H65" s="90" t="str">
        <x:v>06 Jul</x:v>
      </x:c>
      <x:c r="I65" s="95" t="n">
        <x:f>E65</x:f>
        <x:v>26824067</x:v>
      </x:c>
    </x:row>
    <x:row r="66">
      <x:c r="A66" s="62" t="n">
        <x:v>46210</x:v>
      </x:c>
      <x:c r="B66" s="65" t="n">
        <x:f>COUNTIFS('Usage Log'!$B$6:$B$85,"&gt;="&amp;A66,'Usage Log'!$B$6:$B$85,"&lt;"&amp;A66+1)</x:f>
        <x:v>2</x:v>
      </x:c>
      <x:c r="C66" s="65" t="n">
        <x:f>COUNTIFS('Usage Log'!$B$6:$B$85,"&gt;="&amp;A66,'Usage Log'!$B$6:$B$85,"&lt;"&amp;A66+1,'Usage Log'!$E$6:$E$85,"Direct")</x:f>
        <x:v>1</x:v>
      </x:c>
      <x:c r="D66" s="65" t="n">
        <x:f>COUNTIFS('Usage Log'!$B$6:$B$85,"&gt;="&amp;A66,'Usage Log'!$B$6:$B$85,"&lt;"&amp;A66+1,'Usage Log'!$E$6:$E$85,"Sub-agent")</x:f>
        <x:v>1</x:v>
      </x:c>
      <x:c r="E66" s="68" t="n">
        <x:f>SUMIFS('Usage Log'!$J$6:$J$85,'Usage Log'!$B$6:$B$85,"&gt;="&amp;A66,'Usage Log'!$B$6:$B$85,"&lt;"&amp;A66+1)</x:f>
        <x:v>4503817</x:v>
      </x:c>
      <x:c r="F66" s="68" t="n">
        <x:f>IF(B66=0,0,E66/B66)</x:f>
        <x:v>2251908.5</x:v>
      </x:c>
      <x:c r="G66" s="71" t="n">
        <x:f>SUMIFS('Usage Log'!$D$6:$D$85,'Usage Log'!$B$6:$B$85,"&gt;="&amp;A66,'Usage Log'!$B$6:$B$85,"&lt;"&amp;A66+1)/60</x:f>
        <x:v>1.7838888888945803</x:v>
      </x:c>
      <x:c r="H66" s="90" t="str">
        <x:v>07 Jul</x:v>
      </x:c>
      <x:c r="I66" s="95" t="n">
        <x:f>E66</x:f>
        <x:v>4503817</x:v>
      </x:c>
    </x:row>
    <x:row r="67">
      <x:c r="A67" s="77" t="n">
        <x:v>46211</x:v>
      </x:c>
      <x:c r="B67" s="78" t="n">
        <x:f>COUNTIFS('Usage Log'!$B$6:$B$85,"&gt;="&amp;A67,'Usage Log'!$B$6:$B$85,"&lt;"&amp;A67+1)</x:f>
        <x:v>0</x:v>
      </x:c>
      <x:c r="C67" s="78" t="n">
        <x:f>COUNTIFS('Usage Log'!$B$6:$B$85,"&gt;="&amp;A67,'Usage Log'!$B$6:$B$85,"&lt;"&amp;A67+1,'Usage Log'!$E$6:$E$85,"Direct")</x:f>
        <x:v>0</x:v>
      </x:c>
      <x:c r="D67" s="78" t="n">
        <x:f>COUNTIFS('Usage Log'!$B$6:$B$85,"&gt;="&amp;A67,'Usage Log'!$B$6:$B$85,"&lt;"&amp;A67+1,'Usage Log'!$E$6:$E$85,"Sub-agent")</x:f>
        <x:v>0</x:v>
      </x:c>
      <x:c r="E67" s="79" t="n">
        <x:f>SUMIFS('Usage Log'!$J$6:$J$85,'Usage Log'!$B$6:$B$85,"&gt;="&amp;A67,'Usage Log'!$B$6:$B$85,"&lt;"&amp;A67+1)</x:f>
        <x:v>0</x:v>
      </x:c>
      <x:c r="F67" s="79" t="n">
        <x:f>IF(B67=0,0,E67/B67)</x:f>
        <x:v>0</x:v>
      </x:c>
      <x:c r="G67" s="80" t="n">
        <x:f>SUMIFS('Usage Log'!$D$6:$D$85,'Usage Log'!$B$6:$B$85,"&gt;="&amp;A67,'Usage Log'!$B$6:$B$85,"&lt;"&amp;A67+1)/60</x:f>
        <x:v>0</x:v>
      </x:c>
      <x:c r="H67" s="90" t="str">
        <x:v>08 Jul</x:v>
      </x:c>
      <x:c r="I67" s="95" t="n">
        <x:f>E67</x:f>
        <x:v>0</x:v>
      </x:c>
    </x:row>
    <x:row r="68">
      <x:c r="A68" s="62" t="n">
        <x:v>46212</x:v>
      </x:c>
      <x:c r="B68" s="65" t="n">
        <x:f>COUNTIFS('Usage Log'!$B$6:$B$85,"&gt;="&amp;A68,'Usage Log'!$B$6:$B$85,"&lt;"&amp;A68+1)</x:f>
        <x:v>2</x:v>
      </x:c>
      <x:c r="C68" s="65" t="n">
        <x:f>COUNTIFS('Usage Log'!$B$6:$B$85,"&gt;="&amp;A68,'Usage Log'!$B$6:$B$85,"&lt;"&amp;A68+1,'Usage Log'!$E$6:$E$85,"Direct")</x:f>
        <x:v>1</x:v>
      </x:c>
      <x:c r="D68" s="65" t="n">
        <x:f>COUNTIFS('Usage Log'!$B$6:$B$85,"&gt;="&amp;A68,'Usage Log'!$B$6:$B$85,"&lt;"&amp;A68+1,'Usage Log'!$E$6:$E$85,"Sub-agent")</x:f>
        <x:v>1</x:v>
      </x:c>
      <x:c r="E68" s="68" t="n">
        <x:f>SUMIFS('Usage Log'!$J$6:$J$85,'Usage Log'!$B$6:$B$85,"&gt;="&amp;A68,'Usage Log'!$B$6:$B$85,"&lt;"&amp;A68+1)</x:f>
        <x:v>985260</x:v>
      </x:c>
      <x:c r="F68" s="68" t="n">
        <x:f>IF(B68=0,0,E68/B68)</x:f>
        <x:v>492630</x:v>
      </x:c>
      <x:c r="G68" s="71" t="n">
        <x:f>SUMIFS('Usage Log'!$D$6:$D$85,'Usage Log'!$B$6:$B$85,"&gt;="&amp;A68,'Usage Log'!$B$6:$B$85,"&lt;"&amp;A68+1)/60</x:f>
        <x:v>0.5899999997927807</x:v>
      </x:c>
      <x:c r="H68" s="90" t="str">
        <x:v>09 Jul</x:v>
      </x:c>
      <x:c r="I68" s="95" t="n">
        <x:f>E68</x:f>
        <x:v>985260</x:v>
      </x:c>
    </x:row>
    <x:row r="69">
      <x:c r="A69" s="77" t="n">
        <x:v>46213</x:v>
      </x:c>
      <x:c r="B69" s="78" t="n">
        <x:f>COUNTIFS('Usage Log'!$B$6:$B$85,"&gt;="&amp;A69,'Usage Log'!$B$6:$B$85,"&lt;"&amp;A69+1)</x:f>
        <x:v>2</x:v>
      </x:c>
      <x:c r="C69" s="78" t="n">
        <x:f>COUNTIFS('Usage Log'!$B$6:$B$85,"&gt;="&amp;A69,'Usage Log'!$B$6:$B$85,"&lt;"&amp;A69+1,'Usage Log'!$E$6:$E$85,"Direct")</x:f>
        <x:v>1</x:v>
      </x:c>
      <x:c r="D69" s="78" t="n">
        <x:f>COUNTIFS('Usage Log'!$B$6:$B$85,"&gt;="&amp;A69,'Usage Log'!$B$6:$B$85,"&lt;"&amp;A69+1,'Usage Log'!$E$6:$E$85,"Sub-agent")</x:f>
        <x:v>1</x:v>
      </x:c>
      <x:c r="E69" s="79" t="n">
        <x:f>SUMIFS('Usage Log'!$J$6:$J$85,'Usage Log'!$B$6:$B$85,"&gt;="&amp;A69,'Usage Log'!$B$6:$B$85,"&lt;"&amp;A69+1)</x:f>
        <x:v>364539</x:v>
      </x:c>
      <x:c r="F69" s="79" t="n">
        <x:f>IF(B69=0,0,E69/B69)</x:f>
        <x:v>182269.5</x:v>
      </x:c>
      <x:c r="G69" s="80" t="n">
        <x:f>SUMIFS('Usage Log'!$D$6:$D$85,'Usage Log'!$B$6:$B$85,"&gt;="&amp;A69,'Usage Log'!$B$6:$B$85,"&lt;"&amp;A69+1)/60</x:f>
        <x:v>0.06999999994877726</x:v>
      </x:c>
      <x:c r="H69" s="90" t="str">
        <x:v>10 Jul</x:v>
      </x:c>
      <x:c r="I69" s="95" t="n">
        <x:f>E69</x:f>
        <x:v>364539</x:v>
      </x:c>
    </x:row>
    <x:row r="70">
      <x:c r="A70" s="62" t="n">
        <x:v>46214</x:v>
      </x:c>
      <x:c r="B70" s="65" t="n">
        <x:f>COUNTIFS('Usage Log'!$B$6:$B$85,"&gt;="&amp;A70,'Usage Log'!$B$6:$B$85,"&lt;"&amp;A70+1)</x:f>
        <x:v>0</x:v>
      </x:c>
      <x:c r="C70" s="65" t="n">
        <x:f>COUNTIFS('Usage Log'!$B$6:$B$85,"&gt;="&amp;A70,'Usage Log'!$B$6:$B$85,"&lt;"&amp;A70+1,'Usage Log'!$E$6:$E$85,"Direct")</x:f>
        <x:v>0</x:v>
      </x:c>
      <x:c r="D70" s="65" t="n">
        <x:f>COUNTIFS('Usage Log'!$B$6:$B$85,"&gt;="&amp;A70,'Usage Log'!$B$6:$B$85,"&lt;"&amp;A70+1,'Usage Log'!$E$6:$E$85,"Sub-agent")</x:f>
        <x:v>0</x:v>
      </x:c>
      <x:c r="E70" s="68" t="n">
        <x:f>SUMIFS('Usage Log'!$J$6:$J$85,'Usage Log'!$B$6:$B$85,"&gt;="&amp;A70,'Usage Log'!$B$6:$B$85,"&lt;"&amp;A70+1)</x:f>
        <x:v>0</x:v>
      </x:c>
      <x:c r="F70" s="68" t="n">
        <x:f>IF(B70=0,0,E70/B70)</x:f>
        <x:v>0</x:v>
      </x:c>
      <x:c r="G70" s="71" t="n">
        <x:f>SUMIFS('Usage Log'!$D$6:$D$85,'Usage Log'!$B$6:$B$85,"&gt;="&amp;A70,'Usage Log'!$B$6:$B$85,"&lt;"&amp;A70+1)/60</x:f>
        <x:v>0</x:v>
      </x:c>
      <x:c r="H70" s="90" t="str">
        <x:v>11 Jul</x:v>
      </x:c>
      <x:c r="I70" s="95" t="n">
        <x:f>E70</x:f>
        <x:v>0</x:v>
      </x:c>
    </x:row>
    <x:row r="71">
      <x:c r="A71" s="77" t="n">
        <x:v>46215</x:v>
      </x:c>
      <x:c r="B71" s="78" t="n">
        <x:f>COUNTIFS('Usage Log'!$B$6:$B$85,"&gt;="&amp;A71,'Usage Log'!$B$6:$B$85,"&lt;"&amp;A71+1)</x:f>
        <x:v>0</x:v>
      </x:c>
      <x:c r="C71" s="78" t="n">
        <x:f>COUNTIFS('Usage Log'!$B$6:$B$85,"&gt;="&amp;A71,'Usage Log'!$B$6:$B$85,"&lt;"&amp;A71+1,'Usage Log'!$E$6:$E$85,"Direct")</x:f>
        <x:v>0</x:v>
      </x:c>
      <x:c r="D71" s="78" t="n">
        <x:f>COUNTIFS('Usage Log'!$B$6:$B$85,"&gt;="&amp;A71,'Usage Log'!$B$6:$B$85,"&lt;"&amp;A71+1,'Usage Log'!$E$6:$E$85,"Sub-agent")</x:f>
        <x:v>0</x:v>
      </x:c>
      <x:c r="E71" s="79" t="n">
        <x:f>SUMIFS('Usage Log'!$J$6:$J$85,'Usage Log'!$B$6:$B$85,"&gt;="&amp;A71,'Usage Log'!$B$6:$B$85,"&lt;"&amp;A71+1)</x:f>
        <x:v>0</x:v>
      </x:c>
      <x:c r="F71" s="79" t="n">
        <x:f>IF(B71=0,0,E71/B71)</x:f>
        <x:v>0</x:v>
      </x:c>
      <x:c r="G71" s="80" t="n">
        <x:f>SUMIFS('Usage Log'!$D$6:$D$85,'Usage Log'!$B$6:$B$85,"&gt;="&amp;A71,'Usage Log'!$B$6:$B$85,"&lt;"&amp;A71+1)/60</x:f>
        <x:v>0</x:v>
      </x:c>
      <x:c r="H71" s="90" t="str">
        <x:v>12 Jul</x:v>
      </x:c>
      <x:c r="I71" s="95" t="n">
        <x:f>E71</x:f>
        <x:v>0</x:v>
      </x:c>
    </x:row>
    <x:row r="72">
      <x:c r="A72" s="62" t="n">
        <x:v>46216</x:v>
      </x:c>
      <x:c r="B72" s="65" t="n">
        <x:f>COUNTIFS('Usage Log'!$B$6:$B$85,"&gt;="&amp;A72,'Usage Log'!$B$6:$B$85,"&lt;"&amp;A72+1)</x:f>
        <x:v>2</x:v>
      </x:c>
      <x:c r="C72" s="65" t="n">
        <x:f>COUNTIFS('Usage Log'!$B$6:$B$85,"&gt;="&amp;A72,'Usage Log'!$B$6:$B$85,"&lt;"&amp;A72+1,'Usage Log'!$E$6:$E$85,"Direct")</x:f>
        <x:v>1</x:v>
      </x:c>
      <x:c r="D72" s="65" t="n">
        <x:f>COUNTIFS('Usage Log'!$B$6:$B$85,"&gt;="&amp;A72,'Usage Log'!$B$6:$B$85,"&lt;"&amp;A72+1,'Usage Log'!$E$6:$E$85,"Sub-agent")</x:f>
        <x:v>1</x:v>
      </x:c>
      <x:c r="E72" s="68" t="n">
        <x:f>SUMIFS('Usage Log'!$J$6:$J$85,'Usage Log'!$B$6:$B$85,"&gt;="&amp;A72,'Usage Log'!$B$6:$B$85,"&lt;"&amp;A72+1)</x:f>
        <x:v>1765945</x:v>
      </x:c>
      <x:c r="F72" s="68" t="n">
        <x:f>IF(B72=0,0,E72/B72)</x:f>
        <x:v>882972.5</x:v>
      </x:c>
      <x:c r="G72" s="71" t="n">
        <x:f>SUMIFS('Usage Log'!$D$6:$D$85,'Usage Log'!$B$6:$B$85,"&gt;="&amp;A72,'Usage Log'!$B$6:$B$85,"&lt;"&amp;A72+1)/60</x:f>
        <x:v>0.3475000000325963</x:v>
      </x:c>
      <x:c r="H72" s="90" t="str">
        <x:v>13 Jul</x:v>
      </x:c>
      <x:c r="I72" s="95" t="n">
        <x:f>E72</x:f>
        <x:v>1765945</x:v>
      </x:c>
    </x:row>
    <x:row r="73">
      <x:c r="A73" s="77" t="n">
        <x:v>46217</x:v>
      </x:c>
      <x:c r="B73" s="78" t="n">
        <x:f>COUNTIFS('Usage Log'!$B$6:$B$85,"&gt;="&amp;A73,'Usage Log'!$B$6:$B$85,"&lt;"&amp;A73+1)</x:f>
        <x:v>2</x:v>
      </x:c>
      <x:c r="C73" s="78" t="n">
        <x:f>COUNTIFS('Usage Log'!$B$6:$B$85,"&gt;="&amp;A73,'Usage Log'!$B$6:$B$85,"&lt;"&amp;A73+1,'Usage Log'!$E$6:$E$85,"Direct")</x:f>
        <x:v>1</x:v>
      </x:c>
      <x:c r="D73" s="78" t="n">
        <x:f>COUNTIFS('Usage Log'!$B$6:$B$85,"&gt;="&amp;A73,'Usage Log'!$B$6:$B$85,"&lt;"&amp;A73+1,'Usage Log'!$E$6:$E$85,"Sub-agent")</x:f>
        <x:v>1</x:v>
      </x:c>
      <x:c r="E73" s="79" t="n">
        <x:f>SUMIFS('Usage Log'!$J$6:$J$85,'Usage Log'!$B$6:$B$85,"&gt;="&amp;A73,'Usage Log'!$B$6:$B$85,"&lt;"&amp;A73+1)</x:f>
        <x:v>37866669</x:v>
      </x:c>
      <x:c r="F73" s="79" t="n">
        <x:f>IF(B73=0,0,E73/B73)</x:f>
        <x:v>18933334.5</x:v>
      </x:c>
      <x:c r="G73" s="80" t="n">
        <x:f>SUMIFS('Usage Log'!$D$6:$D$85,'Usage Log'!$B$6:$B$85,"&gt;="&amp;A73,'Usage Log'!$B$6:$B$85,"&lt;"&amp;A73+1)/60</x:f>
        <x:v>2.0255555554758757</x:v>
      </x:c>
      <x:c r="H73" s="90" t="str">
        <x:v>14 Jul</x:v>
      </x:c>
      <x:c r="I73" s="95" t="n">
        <x:f>E73</x:f>
        <x:v>37866669</x:v>
      </x:c>
    </x:row>
    <x:row r="74">
      <x:c r="A74" s="62" t="n">
        <x:v>46218</x:v>
      </x:c>
      <x:c r="B74" s="65" t="n">
        <x:f>COUNTIFS('Usage Log'!$B$6:$B$85,"&gt;="&amp;A74,'Usage Log'!$B$6:$B$85,"&lt;"&amp;A74+1)</x:f>
        <x:v>2</x:v>
      </x:c>
      <x:c r="C74" s="65" t="n">
        <x:f>COUNTIFS('Usage Log'!$B$6:$B$85,"&gt;="&amp;A74,'Usage Log'!$B$6:$B$85,"&lt;"&amp;A74+1,'Usage Log'!$E$6:$E$85,"Direct")</x:f>
        <x:v>1</x:v>
      </x:c>
      <x:c r="D74" s="65" t="n">
        <x:f>COUNTIFS('Usage Log'!$B$6:$B$85,"&gt;="&amp;A74,'Usage Log'!$B$6:$B$85,"&lt;"&amp;A74+1,'Usage Log'!$E$6:$E$85,"Sub-agent")</x:f>
        <x:v>1</x:v>
      </x:c>
      <x:c r="E74" s="68" t="n">
        <x:f>SUMIFS('Usage Log'!$J$6:$J$85,'Usage Log'!$B$6:$B$85,"&gt;="&amp;A74,'Usage Log'!$B$6:$B$85,"&lt;"&amp;A74+1)</x:f>
        <x:v>2917755</x:v>
      </x:c>
      <x:c r="F74" s="68" t="n">
        <x:f>IF(B74=0,0,E74/B74)</x:f>
        <x:v>1458877.5</x:v>
      </x:c>
      <x:c r="G74" s="71" t="n">
        <x:f>SUMIFS('Usage Log'!$D$6:$D$85,'Usage Log'!$B$6:$B$85,"&gt;="&amp;A74,'Usage Log'!$B$6:$B$85,"&lt;"&amp;A74+1)/60</x:f>
        <x:v>0.620277777838055</x:v>
      </x:c>
      <x:c r="H74" s="90" t="str">
        <x:v>15 Jul</x:v>
      </x:c>
      <x:c r="I74" s="95" t="n">
        <x:f>E74</x:f>
        <x:v>2917755</x:v>
      </x:c>
    </x:row>
    <x:row r="75">
      <x:c r="A75" s="77" t="n">
        <x:v>46219</x:v>
      </x:c>
      <x:c r="B75" s="78" t="n">
        <x:f>COUNTIFS('Usage Log'!$B$6:$B$85,"&gt;="&amp;A75,'Usage Log'!$B$6:$B$85,"&lt;"&amp;A75+1)</x:f>
        <x:v>0</x:v>
      </x:c>
      <x:c r="C75" s="78" t="n">
        <x:f>COUNTIFS('Usage Log'!$B$6:$B$85,"&gt;="&amp;A75,'Usage Log'!$B$6:$B$85,"&lt;"&amp;A75+1,'Usage Log'!$E$6:$E$85,"Direct")</x:f>
        <x:v>0</x:v>
      </x:c>
      <x:c r="D75" s="78" t="n">
        <x:f>COUNTIFS('Usage Log'!$B$6:$B$85,"&gt;="&amp;A75,'Usage Log'!$B$6:$B$85,"&lt;"&amp;A75+1,'Usage Log'!$E$6:$E$85,"Sub-agent")</x:f>
        <x:v>0</x:v>
      </x:c>
      <x:c r="E75" s="79" t="n">
        <x:f>SUMIFS('Usage Log'!$J$6:$J$85,'Usage Log'!$B$6:$B$85,"&gt;="&amp;A75,'Usage Log'!$B$6:$B$85,"&lt;"&amp;A75+1)</x:f>
        <x:v>0</x:v>
      </x:c>
      <x:c r="F75" s="79" t="n">
        <x:f>IF(B75=0,0,E75/B75)</x:f>
        <x:v>0</x:v>
      </x:c>
      <x:c r="G75" s="80" t="n">
        <x:f>SUMIFS('Usage Log'!$D$6:$D$85,'Usage Log'!$B$6:$B$85,"&gt;="&amp;A75,'Usage Log'!$B$6:$B$85,"&lt;"&amp;A75+1)/60</x:f>
        <x:v>0</x:v>
      </x:c>
      <x:c r="H75" s="90" t="str">
        <x:v>16 Jul</x:v>
      </x:c>
      <x:c r="I75" s="95" t="n">
        <x:f>E75</x:f>
        <x:v>0</x:v>
      </x:c>
    </x:row>
    <x:row r="76">
      <x:c r="A76" s="62" t="n">
        <x:v>46220</x:v>
      </x:c>
      <x:c r="B76" s="65" t="n">
        <x:f>COUNTIFS('Usage Log'!$B$6:$B$85,"&gt;="&amp;A76,'Usage Log'!$B$6:$B$85,"&lt;"&amp;A76+1)</x:f>
        <x:v>0</x:v>
      </x:c>
      <x:c r="C76" s="65" t="n">
        <x:f>COUNTIFS('Usage Log'!$B$6:$B$85,"&gt;="&amp;A76,'Usage Log'!$B$6:$B$85,"&lt;"&amp;A76+1,'Usage Log'!$E$6:$E$85,"Direct")</x:f>
        <x:v>0</x:v>
      </x:c>
      <x:c r="D76" s="65" t="n">
        <x:f>COUNTIFS('Usage Log'!$B$6:$B$85,"&gt;="&amp;A76,'Usage Log'!$B$6:$B$85,"&lt;"&amp;A76+1,'Usage Log'!$E$6:$E$85,"Sub-agent")</x:f>
        <x:v>0</x:v>
      </x:c>
      <x:c r="E76" s="68" t="n">
        <x:f>SUMIFS('Usage Log'!$J$6:$J$85,'Usage Log'!$B$6:$B$85,"&gt;="&amp;A76,'Usage Log'!$B$6:$B$85,"&lt;"&amp;A76+1)</x:f>
        <x:v>0</x:v>
      </x:c>
      <x:c r="F76" s="68" t="n">
        <x:f>IF(B76=0,0,E76/B76)</x:f>
        <x:v>0</x:v>
      </x:c>
      <x:c r="G76" s="71" t="n">
        <x:f>SUMIFS('Usage Log'!$D$6:$D$85,'Usage Log'!$B$6:$B$85,"&gt;="&amp;A76,'Usage Log'!$B$6:$B$85,"&lt;"&amp;A76+1)/60</x:f>
        <x:v>0</x:v>
      </x:c>
      <x:c r="H76" s="90" t="str">
        <x:v>17 Jul</x:v>
      </x:c>
      <x:c r="I76" s="95" t="n">
        <x:f>E76</x:f>
        <x:v>0</x:v>
      </x:c>
    </x:row>
    <x:row r="77">
      <x:c r="A77" s="77" t="n">
        <x:v>46221</x:v>
      </x:c>
      <x:c r="B77" s="78" t="n">
        <x:f>COUNTIFS('Usage Log'!$B$6:$B$85,"&gt;="&amp;A77,'Usage Log'!$B$6:$B$85,"&lt;"&amp;A77+1)</x:f>
        <x:v>2</x:v>
      </x:c>
      <x:c r="C77" s="78" t="n">
        <x:f>COUNTIFS('Usage Log'!$B$6:$B$85,"&gt;="&amp;A77,'Usage Log'!$B$6:$B$85,"&lt;"&amp;A77+1,'Usage Log'!$E$6:$E$85,"Direct")</x:f>
        <x:v>1</x:v>
      </x:c>
      <x:c r="D77" s="78" t="n">
        <x:f>COUNTIFS('Usage Log'!$B$6:$B$85,"&gt;="&amp;A77,'Usage Log'!$B$6:$B$85,"&lt;"&amp;A77+1,'Usage Log'!$E$6:$E$85,"Sub-agent")</x:f>
        <x:v>1</x:v>
      </x:c>
      <x:c r="E77" s="79" t="n">
        <x:f>SUMIFS('Usage Log'!$J$6:$J$85,'Usage Log'!$B$6:$B$85,"&gt;="&amp;A77,'Usage Log'!$B$6:$B$85,"&lt;"&amp;A77+1)</x:f>
        <x:v>68127641</x:v>
      </x:c>
      <x:c r="F77" s="79" t="n">
        <x:f>IF(B77=0,0,E77/B77)</x:f>
        <x:v>34063820.5</x:v>
      </x:c>
      <x:c r="G77" s="80" t="n">
        <x:f>SUMIFS('Usage Log'!$D$6:$D$85,'Usage Log'!$B$6:$B$85,"&gt;="&amp;A77,'Usage Log'!$B$6:$B$85,"&lt;"&amp;A77+1)/60</x:f>
        <x:v>25.778611110930797</x:v>
      </x:c>
      <x:c r="H77" s="90" t="str">
        <x:v>18 Jul</x:v>
      </x:c>
      <x:c r="I77" s="95" t="n">
        <x:f>E77</x:f>
        <x:v>68127641</x:v>
      </x:c>
    </x:row>
    <x:row r="78">
      <x:c r="A78" s="62" t="n">
        <x:v>46222</x:v>
      </x:c>
      <x:c r="B78" s="65" t="n">
        <x:f>COUNTIFS('Usage Log'!$B$6:$B$85,"&gt;="&amp;A78,'Usage Log'!$B$6:$B$85,"&lt;"&amp;A78+1)</x:f>
        <x:v>2</x:v>
      </x:c>
      <x:c r="C78" s="65" t="n">
        <x:f>COUNTIFS('Usage Log'!$B$6:$B$85,"&gt;="&amp;A78,'Usage Log'!$B$6:$B$85,"&lt;"&amp;A78+1,'Usage Log'!$E$6:$E$85,"Direct")</x:f>
        <x:v>1</x:v>
      </x:c>
      <x:c r="D78" s="65" t="n">
        <x:f>COUNTIFS('Usage Log'!$B$6:$B$85,"&gt;="&amp;A78,'Usage Log'!$B$6:$B$85,"&lt;"&amp;A78+1,'Usage Log'!$E$6:$E$85,"Sub-agent")</x:f>
        <x:v>1</x:v>
      </x:c>
      <x:c r="E78" s="68" t="n">
        <x:f>SUMIFS('Usage Log'!$J$6:$J$85,'Usage Log'!$B$6:$B$85,"&gt;="&amp;A78,'Usage Log'!$B$6:$B$85,"&lt;"&amp;A78+1)</x:f>
        <x:v>15269910</x:v>
      </x:c>
      <x:c r="F78" s="68" t="n">
        <x:f>IF(B78=0,0,E78/B78)</x:f>
        <x:v>7634955</x:v>
      </x:c>
      <x:c r="G78" s="71" t="n">
        <x:f>SUMIFS('Usage Log'!$D$6:$D$85,'Usage Log'!$B$6:$B$85,"&gt;="&amp;A78,'Usage Log'!$B$6:$B$85,"&lt;"&amp;A78+1)/60</x:f>
        <x:v>1.8777777777286246</x:v>
      </x:c>
      <x:c r="H78" s="90" t="str">
        <x:v>19 Jul</x:v>
      </x:c>
      <x:c r="I78" s="95" t="n">
        <x:f>E78</x:f>
        <x:v>15269910</x:v>
      </x:c>
    </x:row>
    <x:row r="79">
      <x:c r="A79" s="77" t="n">
        <x:v>46223</x:v>
      </x:c>
      <x:c r="B79" s="78" t="n">
        <x:f>COUNTIFS('Usage Log'!$B$6:$B$85,"&gt;="&amp;A79,'Usage Log'!$B$6:$B$85,"&lt;"&amp;A79+1)</x:f>
        <x:v>2</x:v>
      </x:c>
      <x:c r="C79" s="78" t="n">
        <x:f>COUNTIFS('Usage Log'!$B$6:$B$85,"&gt;="&amp;A79,'Usage Log'!$B$6:$B$85,"&lt;"&amp;A79+1,'Usage Log'!$E$6:$E$85,"Direct")</x:f>
        <x:v>1</x:v>
      </x:c>
      <x:c r="D79" s="78" t="n">
        <x:f>COUNTIFS('Usage Log'!$B$6:$B$85,"&gt;="&amp;A79,'Usage Log'!$B$6:$B$85,"&lt;"&amp;A79+1,'Usage Log'!$E$6:$E$85,"Sub-agent")</x:f>
        <x:v>1</x:v>
      </x:c>
      <x:c r="E79" s="79" t="n">
        <x:f>SUMIFS('Usage Log'!$J$6:$J$85,'Usage Log'!$B$6:$B$85,"&gt;="&amp;A79,'Usage Log'!$B$6:$B$85,"&lt;"&amp;A79+1)</x:f>
        <x:v>2347168</x:v>
      </x:c>
      <x:c r="F79" s="79" t="n">
        <x:f>IF(B79=0,0,E79/B79)</x:f>
        <x:v>1173584</x:v>
      </x:c>
      <x:c r="G79" s="80" t="n">
        <x:f>SUMIFS('Usage Log'!$D$6:$D$85,'Usage Log'!$B$6:$B$85,"&gt;="&amp;A79,'Usage Log'!$B$6:$B$85,"&lt;"&amp;A79+1)/60</x:f>
        <x:v>0.3449999999720603</x:v>
      </x:c>
      <x:c r="H79" s="90" t="str">
        <x:v>20 Jul</x:v>
      </x:c>
      <x:c r="I79" s="95" t="n">
        <x:f>E79</x:f>
        <x:v>2347168</x:v>
      </x:c>
    </x:row>
    <x:row r="80">
      <x:c r="A80" s="62" t="n">
        <x:v>46224</x:v>
      </x:c>
      <x:c r="B80" s="65" t="n">
        <x:f>COUNTIFS('Usage Log'!$B$6:$B$85,"&gt;="&amp;A80,'Usage Log'!$B$6:$B$85,"&lt;"&amp;A80+1)</x:f>
        <x:v>2</x:v>
      </x:c>
      <x:c r="C80" s="65" t="n">
        <x:f>COUNTIFS('Usage Log'!$B$6:$B$85,"&gt;="&amp;A80,'Usage Log'!$B$6:$B$85,"&lt;"&amp;A80+1,'Usage Log'!$E$6:$E$85,"Direct")</x:f>
        <x:v>2</x:v>
      </x:c>
      <x:c r="D80" s="65" t="n">
        <x:f>COUNTIFS('Usage Log'!$B$6:$B$85,"&gt;="&amp;A80,'Usage Log'!$B$6:$B$85,"&lt;"&amp;A80+1,'Usage Log'!$E$6:$E$85,"Sub-agent")</x:f>
        <x:v>0</x:v>
      </x:c>
      <x:c r="E80" s="68" t="n">
        <x:f>SUMIFS('Usage Log'!$J$6:$J$85,'Usage Log'!$B$6:$B$85,"&gt;="&amp;A80,'Usage Log'!$B$6:$B$85,"&lt;"&amp;A80+1)</x:f>
        <x:v>204935</x:v>
      </x:c>
      <x:c r="F80" s="68" t="n">
        <x:f>IF(B80=0,0,E80/B80)</x:f>
        <x:v>102467.5</x:v>
      </x:c>
      <x:c r="G80" s="71" t="n">
        <x:f>SUMIFS('Usage Log'!$D$6:$D$85,'Usage Log'!$B$6:$B$85,"&gt;="&amp;A80,'Usage Log'!$B$6:$B$85,"&lt;"&amp;A80+1)/60</x:f>
        <x:v>0.029722222010605037</x:v>
      </x:c>
      <x:c r="H80" s="90" t="str">
        <x:v>21 Jul</x:v>
      </x:c>
      <x:c r="I80" s="95" t="n">
        <x:f>E80</x:f>
        <x:v>204935</x:v>
      </x:c>
    </x:row>
    <x:row r="81">
      <x:c r="A81" s="77" t="n">
        <x:v>46225</x:v>
      </x:c>
      <x:c r="B81" s="78" t="n">
        <x:f>COUNTIFS('Usage Log'!$B$6:$B$85,"&gt;="&amp;A81,'Usage Log'!$B$6:$B$85,"&lt;"&amp;A81+1)</x:f>
        <x:v>0</x:v>
      </x:c>
      <x:c r="C81" s="78" t="n">
        <x:f>COUNTIFS('Usage Log'!$B$6:$B$85,"&gt;="&amp;A81,'Usage Log'!$B$6:$B$85,"&lt;"&amp;A81+1,'Usage Log'!$E$6:$E$85,"Direct")</x:f>
        <x:v>0</x:v>
      </x:c>
      <x:c r="D81" s="78" t="n">
        <x:f>COUNTIFS('Usage Log'!$B$6:$B$85,"&gt;="&amp;A81,'Usage Log'!$B$6:$B$85,"&lt;"&amp;A81+1,'Usage Log'!$E$6:$E$85,"Sub-agent")</x:f>
        <x:v>0</x:v>
      </x:c>
      <x:c r="E81" s="79" t="n">
        <x:f>SUMIFS('Usage Log'!$J$6:$J$85,'Usage Log'!$B$6:$B$85,"&gt;="&amp;A81,'Usage Log'!$B$6:$B$85,"&lt;"&amp;A81+1)</x:f>
        <x:v>0</x:v>
      </x:c>
      <x:c r="F81" s="79" t="n">
        <x:f>IF(B81=0,0,E81/B81)</x:f>
        <x:v>0</x:v>
      </x:c>
      <x:c r="G81" s="80" t="n">
        <x:f>SUMIFS('Usage Log'!$D$6:$D$85,'Usage Log'!$B$6:$B$85,"&gt;="&amp;A81,'Usage Log'!$B$6:$B$85,"&lt;"&amp;A81+1)/60</x:f>
        <x:v>0</x:v>
      </x:c>
      <x:c r="H81" s="90" t="str">
        <x:v>22 Jul</x:v>
      </x:c>
      <x:c r="I81" s="95" t="n">
        <x:f>E81</x:f>
        <x:v>0</x:v>
      </x:c>
    </x:row>
    <x:row r="82">
      <x:c r="A82" s="62" t="n">
        <x:v>46226</x:v>
      </x:c>
      <x:c r="B82" s="65" t="n">
        <x:f>COUNTIFS('Usage Log'!$B$6:$B$85,"&gt;="&amp;A82,'Usage Log'!$B$6:$B$85,"&lt;"&amp;A82+1)</x:f>
        <x:v>4</x:v>
      </x:c>
      <x:c r="C82" s="65" t="n">
        <x:f>COUNTIFS('Usage Log'!$B$6:$B$85,"&gt;="&amp;A82,'Usage Log'!$B$6:$B$85,"&lt;"&amp;A82+1,'Usage Log'!$E$6:$E$85,"Direct")</x:f>
        <x:v>2</x:v>
      </x:c>
      <x:c r="D82" s="65" t="n">
        <x:f>COUNTIFS('Usage Log'!$B$6:$B$85,"&gt;="&amp;A82,'Usage Log'!$B$6:$B$85,"&lt;"&amp;A82+1,'Usage Log'!$E$6:$E$85,"Sub-agent")</x:f>
        <x:v>2</x:v>
      </x:c>
      <x:c r="E82" s="68" t="n">
        <x:f>SUMIFS('Usage Log'!$J$6:$J$85,'Usage Log'!$B$6:$B$85,"&gt;="&amp;A82,'Usage Log'!$B$6:$B$85,"&lt;"&amp;A82+1)</x:f>
        <x:v>42224276</x:v>
      </x:c>
      <x:c r="F82" s="68" t="n">
        <x:f>IF(B82=0,0,E82/B82)</x:f>
        <x:v>10556069</x:v>
      </x:c>
      <x:c r="G82" s="71" t="n">
        <x:f>SUMIFS('Usage Log'!$D$6:$D$85,'Usage Log'!$B$6:$B$85,"&gt;="&amp;A82,'Usage Log'!$B$6:$B$85,"&lt;"&amp;A82+1)/60</x:f>
        <x:v>2.977777777647134</x:v>
      </x:c>
      <x:c r="H82" s="90" t="str">
        <x:v>23 Jul</x:v>
      </x:c>
      <x:c r="I82" s="95" t="n">
        <x:f>E82</x:f>
        <x:v>42224276</x:v>
      </x:c>
    </x:row>
    <x:row r="83">
      <x:c r="A83" s="77" t="n">
        <x:v>46227</x:v>
      </x:c>
      <x:c r="B83" s="78" t="n">
        <x:f>COUNTIFS('Usage Log'!$B$6:$B$85,"&gt;="&amp;A83,'Usage Log'!$B$6:$B$85,"&lt;"&amp;A83+1)</x:f>
        <x:v>3</x:v>
      </x:c>
      <x:c r="C83" s="78" t="n">
        <x:f>COUNTIFS('Usage Log'!$B$6:$B$85,"&gt;="&amp;A83,'Usage Log'!$B$6:$B$85,"&lt;"&amp;A83+1,'Usage Log'!$E$6:$E$85,"Direct")</x:f>
        <x:v>1</x:v>
      </x:c>
      <x:c r="D83" s="78" t="n">
        <x:f>COUNTIFS('Usage Log'!$B$6:$B$85,"&gt;="&amp;A83,'Usage Log'!$B$6:$B$85,"&lt;"&amp;A83+1,'Usage Log'!$E$6:$E$85,"Sub-agent")</x:f>
        <x:v>2</x:v>
      </x:c>
      <x:c r="E83" s="79" t="n">
        <x:f>SUMIFS('Usage Log'!$J$6:$J$85,'Usage Log'!$B$6:$B$85,"&gt;="&amp;A83,'Usage Log'!$B$6:$B$85,"&lt;"&amp;A83+1)</x:f>
        <x:v>40436656</x:v>
      </x:c>
      <x:c r="F83" s="79" t="n">
        <x:f>IF(B83=0,0,E83/B83)</x:f>
        <x:v>13478885.333333334</x:v>
      </x:c>
      <x:c r="G83" s="80" t="n">
        <x:f>SUMIFS('Usage Log'!$D$6:$D$85,'Usage Log'!$B$6:$B$85,"&gt;="&amp;A83,'Usage Log'!$B$6:$B$85,"&lt;"&amp;A83+1)/60</x:f>
        <x:v>9.755000000121072</x:v>
      </x:c>
      <x:c r="H83" s="90" t="str">
        <x:v>24 Jul</x:v>
      </x:c>
      <x:c r="I83" s="95" t="n">
        <x:f>E83</x:f>
        <x:v>40436656</x:v>
      </x:c>
    </x:row>
    <x:row r="84">
      <x:c r="A84" s="62" t="n">
        <x:v>46228</x:v>
      </x:c>
      <x:c r="B84" s="65" t="n">
        <x:f>COUNTIFS('Usage Log'!$B$6:$B$85,"&gt;="&amp;A84,'Usage Log'!$B$6:$B$85,"&lt;"&amp;A84+1)</x:f>
        <x:v>0</x:v>
      </x:c>
      <x:c r="C84" s="65" t="n">
        <x:f>COUNTIFS('Usage Log'!$B$6:$B$85,"&gt;="&amp;A84,'Usage Log'!$B$6:$B$85,"&lt;"&amp;A84+1,'Usage Log'!$E$6:$E$85,"Direct")</x:f>
        <x:v>0</x:v>
      </x:c>
      <x:c r="D84" s="65" t="n">
        <x:f>COUNTIFS('Usage Log'!$B$6:$B$85,"&gt;="&amp;A84,'Usage Log'!$B$6:$B$85,"&lt;"&amp;A84+1,'Usage Log'!$E$6:$E$85,"Sub-agent")</x:f>
        <x:v>0</x:v>
      </x:c>
      <x:c r="E84" s="68" t="n">
        <x:f>SUMIFS('Usage Log'!$J$6:$J$85,'Usage Log'!$B$6:$B$85,"&gt;="&amp;A84,'Usage Log'!$B$6:$B$85,"&lt;"&amp;A84+1)</x:f>
        <x:v>0</x:v>
      </x:c>
      <x:c r="F84" s="68" t="n">
        <x:f>IF(B84=0,0,E84/B84)</x:f>
        <x:v>0</x:v>
      </x:c>
      <x:c r="G84" s="71" t="n">
        <x:f>SUMIFS('Usage Log'!$D$6:$D$85,'Usage Log'!$B$6:$B$85,"&gt;="&amp;A84,'Usage Log'!$B$6:$B$85,"&lt;"&amp;A84+1)/60</x:f>
        <x:v>0</x:v>
      </x:c>
      <x:c r="H84" s="90" t="str">
        <x:v>25 Jul</x:v>
      </x:c>
      <x:c r="I84" s="95" t="n">
        <x:f>E84</x:f>
        <x:v>0</x:v>
      </x:c>
    </x:row>
    <x:row r="85">
      <x:c r="A85" s="77" t="n">
        <x:v>46229</x:v>
      </x:c>
      <x:c r="B85" s="78" t="n">
        <x:f>COUNTIFS('Usage Log'!$B$6:$B$85,"&gt;="&amp;A85,'Usage Log'!$B$6:$B$85,"&lt;"&amp;A85+1)</x:f>
        <x:v>10</x:v>
      </x:c>
      <x:c r="C85" s="78" t="n">
        <x:f>COUNTIFS('Usage Log'!$B$6:$B$85,"&gt;="&amp;A85,'Usage Log'!$B$6:$B$85,"&lt;"&amp;A85+1,'Usage Log'!$E$6:$E$85,"Direct")</x:f>
        <x:v>6</x:v>
      </x:c>
      <x:c r="D85" s="78" t="n">
        <x:f>COUNTIFS('Usage Log'!$B$6:$B$85,"&gt;="&amp;A85,'Usage Log'!$B$6:$B$85,"&lt;"&amp;A85+1,'Usage Log'!$E$6:$E$85,"Sub-agent")</x:f>
        <x:v>4</x:v>
      </x:c>
      <x:c r="E85" s="79" t="n">
        <x:f>SUMIFS('Usage Log'!$J$6:$J$85,'Usage Log'!$B$6:$B$85,"&gt;="&amp;A85,'Usage Log'!$B$6:$B$85,"&lt;"&amp;A85+1)</x:f>
        <x:v>104041394</x:v>
      </x:c>
      <x:c r="F85" s="79" t="n">
        <x:f>IF(B85=0,0,E85/B85)</x:f>
        <x:v>10404139.4</x:v>
      </x:c>
      <x:c r="G85" s="80" t="n">
        <x:f>SUMIFS('Usage Log'!$D$6:$D$85,'Usage Log'!$B$6:$B$85,"&gt;="&amp;A85,'Usage Log'!$B$6:$B$85,"&lt;"&amp;A85+1)/60</x:f>
        <x:v>8.048888889024965</x:v>
      </x:c>
      <x:c r="H85" s="90" t="str">
        <x:v>26 Jul</x:v>
      </x:c>
      <x:c r="I85" s="95" t="n">
        <x:f>E85</x:f>
        <x:v>104041394</x:v>
      </x:c>
    </x:row>
    <x:row r="86">
      <x:c r="A86" s="62" t="n">
        <x:v>46230</x:v>
      </x:c>
      <x:c r="B86" s="65" t="n">
        <x:f>COUNTIFS('Usage Log'!$B$6:$B$85,"&gt;="&amp;A86,'Usage Log'!$B$6:$B$85,"&lt;"&amp;A86+1)</x:f>
        <x:v>0</x:v>
      </x:c>
      <x:c r="C86" s="65" t="n">
        <x:f>COUNTIFS('Usage Log'!$B$6:$B$85,"&gt;="&amp;A86,'Usage Log'!$B$6:$B$85,"&lt;"&amp;A86+1,'Usage Log'!$E$6:$E$85,"Direct")</x:f>
        <x:v>0</x:v>
      </x:c>
      <x:c r="D86" s="65" t="n">
        <x:f>COUNTIFS('Usage Log'!$B$6:$B$85,"&gt;="&amp;A86,'Usage Log'!$B$6:$B$85,"&lt;"&amp;A86+1,'Usage Log'!$E$6:$E$85,"Sub-agent")</x:f>
        <x:v>0</x:v>
      </x:c>
      <x:c r="E86" s="68" t="n">
        <x:f>SUMIFS('Usage Log'!$J$6:$J$85,'Usage Log'!$B$6:$B$85,"&gt;="&amp;A86,'Usage Log'!$B$6:$B$85,"&lt;"&amp;A86+1)</x:f>
        <x:v>0</x:v>
      </x:c>
      <x:c r="F86" s="68" t="n">
        <x:f>IF(B86=0,0,E86/B86)</x:f>
        <x:v>0</x:v>
      </x:c>
      <x:c r="G86" s="71" t="n">
        <x:f>SUMIFS('Usage Log'!$D$6:$D$85,'Usage Log'!$B$6:$B$85,"&gt;="&amp;A86,'Usage Log'!$B$6:$B$85,"&lt;"&amp;A86+1)/60</x:f>
        <x:v>0</x:v>
      </x:c>
      <x:c r="H86" s="90" t="str">
        <x:v>27 Jul</x:v>
      </x:c>
      <x:c r="I86" s="95" t="n">
        <x:f>E86</x:f>
        <x:v>0</x:v>
      </x:c>
    </x:row>
    <x:row r="87">
      <x:c r="A87" s="77" t="n">
        <x:v>46231</x:v>
      </x:c>
      <x:c r="B87" s="78" t="n">
        <x:f>COUNTIFS('Usage Log'!$B$6:$B$85,"&gt;="&amp;A87,'Usage Log'!$B$6:$B$85,"&lt;"&amp;A87+1)</x:f>
        <x:v>0</x:v>
      </x:c>
      <x:c r="C87" s="78" t="n">
        <x:f>COUNTIFS('Usage Log'!$B$6:$B$85,"&gt;="&amp;A87,'Usage Log'!$B$6:$B$85,"&lt;"&amp;A87+1,'Usage Log'!$E$6:$E$85,"Direct")</x:f>
        <x:v>0</x:v>
      </x:c>
      <x:c r="D87" s="78" t="n">
        <x:f>COUNTIFS('Usage Log'!$B$6:$B$85,"&gt;="&amp;A87,'Usage Log'!$B$6:$B$85,"&lt;"&amp;A87+1,'Usage Log'!$E$6:$E$85,"Sub-agent")</x:f>
        <x:v>0</x:v>
      </x:c>
      <x:c r="E87" s="79" t="n">
        <x:f>SUMIFS('Usage Log'!$J$6:$J$85,'Usage Log'!$B$6:$B$85,"&gt;="&amp;A87,'Usage Log'!$B$6:$B$85,"&lt;"&amp;A87+1)</x:f>
        <x:v>0</x:v>
      </x:c>
      <x:c r="F87" s="79" t="n">
        <x:f>IF(B87=0,0,E87/B87)</x:f>
        <x:v>0</x:v>
      </x:c>
      <x:c r="G87" s="80" t="n">
        <x:f>SUMIFS('Usage Log'!$D$6:$D$85,'Usage Log'!$B$6:$B$85,"&gt;="&amp;A87,'Usage Log'!$B$6:$B$85,"&lt;"&amp;A87+1)/60</x:f>
        <x:v>0</x:v>
      </x:c>
      <x:c r="H87" s="90" t="str">
        <x:v>28 Jul</x:v>
      </x:c>
      <x:c r="I87" s="95" t="n">
        <x:f>E87</x:f>
        <x:v>0</x:v>
      </x:c>
    </x:row>
    <x:row r="88">
      <x:c r="A88" s="62" t="n">
        <x:v>46232</x:v>
      </x:c>
      <x:c r="B88" s="65" t="n">
        <x:f>COUNTIFS('Usage Log'!$B$6:$B$85,"&gt;="&amp;A88,'Usage Log'!$B$6:$B$85,"&lt;"&amp;A88+1)</x:f>
        <x:v>0</x:v>
      </x:c>
      <x:c r="C88" s="65" t="n">
        <x:f>COUNTIFS('Usage Log'!$B$6:$B$85,"&gt;="&amp;A88,'Usage Log'!$B$6:$B$85,"&lt;"&amp;A88+1,'Usage Log'!$E$6:$E$85,"Direct")</x:f>
        <x:v>0</x:v>
      </x:c>
      <x:c r="D88" s="65" t="n">
        <x:f>COUNTIFS('Usage Log'!$B$6:$B$85,"&gt;="&amp;A88,'Usage Log'!$B$6:$B$85,"&lt;"&amp;A88+1,'Usage Log'!$E$6:$E$85,"Sub-agent")</x:f>
        <x:v>0</x:v>
      </x:c>
      <x:c r="E88" s="68" t="n">
        <x:f>SUMIFS('Usage Log'!$J$6:$J$85,'Usage Log'!$B$6:$B$85,"&gt;="&amp;A88,'Usage Log'!$B$6:$B$85,"&lt;"&amp;A88+1)</x:f>
        <x:v>0</x:v>
      </x:c>
      <x:c r="F88" s="68" t="n">
        <x:f>IF(B88=0,0,E88/B88)</x:f>
        <x:v>0</x:v>
      </x:c>
      <x:c r="G88" s="71" t="n">
        <x:f>SUMIFS('Usage Log'!$D$6:$D$85,'Usage Log'!$B$6:$B$85,"&gt;="&amp;A88,'Usage Log'!$B$6:$B$85,"&lt;"&amp;A88+1)/60</x:f>
        <x:v>0</x:v>
      </x:c>
      <x:c r="H88" s="90" t="str">
        <x:v>29 Jul</x:v>
      </x:c>
      <x:c r="I88" s="95" t="n">
        <x:f>E88</x:f>
        <x:v>0</x:v>
      </x:c>
    </x:row>
    <x:row r="89">
      <x:c r="A89" s="77" t="n">
        <x:v>46233</x:v>
      </x:c>
      <x:c r="B89" s="78" t="n">
        <x:f>COUNTIFS('Usage Log'!$B$6:$B$85,"&gt;="&amp;A89,'Usage Log'!$B$6:$B$85,"&lt;"&amp;A89+1)</x:f>
        <x:v>2</x:v>
      </x:c>
      <x:c r="C89" s="78" t="n">
        <x:f>COUNTIFS('Usage Log'!$B$6:$B$85,"&gt;="&amp;A89,'Usage Log'!$B$6:$B$85,"&lt;"&amp;A89+1,'Usage Log'!$E$6:$E$85,"Direct")</x:f>
        <x:v>1</x:v>
      </x:c>
      <x:c r="D89" s="78" t="n">
        <x:f>COUNTIFS('Usage Log'!$B$6:$B$85,"&gt;="&amp;A89,'Usage Log'!$B$6:$B$85,"&lt;"&amp;A89+1,'Usage Log'!$E$6:$E$85,"Sub-agent")</x:f>
        <x:v>1</x:v>
      </x:c>
      <x:c r="E89" s="79" t="n">
        <x:f>SUMIFS('Usage Log'!$J$6:$J$85,'Usage Log'!$B$6:$B$85,"&gt;="&amp;A89,'Usage Log'!$B$6:$B$85,"&lt;"&amp;A89+1)</x:f>
        <x:v>33462644</x:v>
      </x:c>
      <x:c r="F89" s="79" t="n">
        <x:f>IF(B89=0,0,E89/B89)</x:f>
        <x:v>16731322</x:v>
      </x:c>
      <x:c r="G89" s="80" t="n">
        <x:f>SUMIFS('Usage Log'!$D$6:$D$85,'Usage Log'!$B$6:$B$85,"&gt;="&amp;A89,'Usage Log'!$B$6:$B$85,"&lt;"&amp;A89+1)/60</x:f>
        <x:v>31.700833333306946</x:v>
      </x:c>
      <x:c r="H89" s="90" t="str">
        <x:v>30 Jul</x:v>
      </x:c>
      <x:c r="I89" s="95" t="n">
        <x:f>E89</x:f>
        <x:v>33462644</x:v>
      </x:c>
    </x:row>
    <x:row r="90">
      <x:c r="A90" s="62" t="n">
        <x:v>46234</x:v>
      </x:c>
      <x:c r="B90" s="65" t="n">
        <x:f>COUNTIFS('Usage Log'!$B$6:$B$85,"&gt;="&amp;A90,'Usage Log'!$B$6:$B$85,"&lt;"&amp;A90+1)</x:f>
        <x:v>1</x:v>
      </x:c>
      <x:c r="C90" s="65" t="n">
        <x:f>COUNTIFS('Usage Log'!$B$6:$B$85,"&gt;="&amp;A90,'Usage Log'!$B$6:$B$85,"&lt;"&amp;A90+1,'Usage Log'!$E$6:$E$85,"Direct")</x:f>
        <x:v>0</x:v>
      </x:c>
      <x:c r="D90" s="65" t="n">
        <x:f>COUNTIFS('Usage Log'!$B$6:$B$85,"&gt;="&amp;A90,'Usage Log'!$B$6:$B$85,"&lt;"&amp;A90+1,'Usage Log'!$E$6:$E$85,"Sub-agent")</x:f>
        <x:v>1</x:v>
      </x:c>
      <x:c r="E90" s="68" t="n">
        <x:f>SUMIFS('Usage Log'!$J$6:$J$85,'Usage Log'!$B$6:$B$85,"&gt;="&amp;A90,'Usage Log'!$B$6:$B$85,"&lt;"&amp;A90+1)</x:f>
        <x:v>3984169</x:v>
      </x:c>
      <x:c r="F90" s="68" t="n">
        <x:f>IF(B90=0,0,E90/B90)</x:f>
        <x:v>3984169</x:v>
      </x:c>
      <x:c r="G90" s="71" t="n">
        <x:f>SUMIFS('Usage Log'!$D$6:$D$85,'Usage Log'!$B$6:$B$85,"&gt;="&amp;A90,'Usage Log'!$B$6:$B$85,"&lt;"&amp;A90+1)/60</x:f>
        <x:v>0.8822222222224809</x:v>
      </x:c>
      <x:c r="H90" s="90" t="str">
        <x:v>31 Jul</x:v>
      </x:c>
      <x:c r="I90" s="95" t="n">
        <x:f>E90</x:f>
        <x:v>3984169</x:v>
      </x:c>
    </x:row>
    <x:row r="91">
      <x:c r="A91" s="77" t="n">
        <x:v>46235</x:v>
      </x:c>
      <x:c r="B91" s="78" t="n">
        <x:f>COUNTIFS('Usage Log'!$B$6:$B$85,"&gt;="&amp;A91,'Usage Log'!$B$6:$B$85,"&lt;"&amp;A91+1)</x:f>
        <x:v>0</x:v>
      </x:c>
      <x:c r="C91" s="78" t="n">
        <x:f>COUNTIFS('Usage Log'!$B$6:$B$85,"&gt;="&amp;A91,'Usage Log'!$B$6:$B$85,"&lt;"&amp;A91+1,'Usage Log'!$E$6:$E$85,"Direct")</x:f>
        <x:v>0</x:v>
      </x:c>
      <x:c r="D91" s="78" t="n">
        <x:f>COUNTIFS('Usage Log'!$B$6:$B$85,"&gt;="&amp;A91,'Usage Log'!$B$6:$B$85,"&lt;"&amp;A91+1,'Usage Log'!$E$6:$E$85,"Sub-agent")</x:f>
        <x:v>0</x:v>
      </x:c>
      <x:c r="E91" s="79" t="n">
        <x:f>SUMIFS('Usage Log'!$J$6:$J$85,'Usage Log'!$B$6:$B$85,"&gt;="&amp;A91,'Usage Log'!$B$6:$B$85,"&lt;"&amp;A91+1)</x:f>
        <x:v>0</x:v>
      </x:c>
      <x:c r="F91" s="79" t="n">
        <x:f>IF(B91=0,0,E91/B91)</x:f>
        <x:v>0</x:v>
      </x:c>
      <x:c r="G91" s="80" t="n">
        <x:f>SUMIFS('Usage Log'!$D$6:$D$85,'Usage Log'!$B$6:$B$85,"&gt;="&amp;A91,'Usage Log'!$B$6:$B$85,"&lt;"&amp;A91+1)/60</x:f>
        <x:v>0</x:v>
      </x:c>
      <x:c r="H91" s="90" t="str">
        <x:v>01 Aug</x:v>
      </x:c>
      <x:c r="I91" s="95" t="n">
        <x:f>E91</x:f>
        <x:v>0</x:v>
      </x:c>
    </x:row>
    <x:row r="92">
      <x:c r="A92" s="62" t="n">
        <x:v>46236</x:v>
      </x:c>
      <x:c r="B92" s="65" t="n">
        <x:f>COUNTIFS('Usage Log'!$B$6:$B$85,"&gt;="&amp;A92,'Usage Log'!$B$6:$B$85,"&lt;"&amp;A92+1)</x:f>
        <x:v>5</x:v>
      </x:c>
      <x:c r="C92" s="65" t="n">
        <x:f>COUNTIFS('Usage Log'!$B$6:$B$85,"&gt;="&amp;A92,'Usage Log'!$B$6:$B$85,"&lt;"&amp;A92+1,'Usage Log'!$E$6:$E$85,"Direct")</x:f>
        <x:v>3</x:v>
      </x:c>
      <x:c r="D92" s="65" t="n">
        <x:f>COUNTIFS('Usage Log'!$B$6:$B$85,"&gt;="&amp;A92,'Usage Log'!$B$6:$B$85,"&lt;"&amp;A92+1,'Usage Log'!$E$6:$E$85,"Sub-agent")</x:f>
        <x:v>2</x:v>
      </x:c>
      <x:c r="E92" s="68" t="n">
        <x:f>SUMIFS('Usage Log'!$J$6:$J$85,'Usage Log'!$B$6:$B$85,"&gt;="&amp;A92,'Usage Log'!$B$6:$B$85,"&lt;"&amp;A92+1)</x:f>
        <x:v>37476155</x:v>
      </x:c>
      <x:c r="F92" s="68" t="n">
        <x:f>IF(B92=0,0,E92/B92)</x:f>
        <x:v>7495231</x:v>
      </x:c>
      <x:c r="G92" s="71" t="n">
        <x:f>SUMIFS('Usage Log'!$D$6:$D$85,'Usage Log'!$B$6:$B$85,"&gt;="&amp;A92,'Usage Log'!$B$6:$B$85,"&lt;"&amp;A92+1)/60</x:f>
        <x:v>5.11277777783107</x:v>
      </x:c>
      <x:c r="H92" s="90" t="str">
        <x:v>02 Aug</x:v>
      </x:c>
      <x:c r="I92" s="95" t="n">
        <x:f>E92</x:f>
        <x:v>37476155</x:v>
      </x:c>
    </x:row>
    <x:row r="93">
      <x:c r="A93" s="77" t="n">
        <x:v>46237</x:v>
      </x:c>
      <x:c r="B93" s="78" t="n">
        <x:f>COUNTIFS('Usage Log'!$B$6:$B$85,"&gt;="&amp;A93,'Usage Log'!$B$6:$B$85,"&lt;"&amp;A93+1)</x:f>
        <x:v>2</x:v>
      </x:c>
      <x:c r="C93" s="78" t="n">
        <x:f>COUNTIFS('Usage Log'!$B$6:$B$85,"&gt;="&amp;A93,'Usage Log'!$B$6:$B$85,"&lt;"&amp;A93+1,'Usage Log'!$E$6:$E$85,"Direct")</x:f>
        <x:v>1</x:v>
      </x:c>
      <x:c r="D93" s="78" t="n">
        <x:f>COUNTIFS('Usage Log'!$B$6:$B$85,"&gt;="&amp;A93,'Usage Log'!$B$6:$B$85,"&lt;"&amp;A93+1,'Usage Log'!$E$6:$E$85,"Sub-agent")</x:f>
        <x:v>1</x:v>
      </x:c>
      <x:c r="E93" s="79" t="n">
        <x:f>SUMIFS('Usage Log'!$J$6:$J$85,'Usage Log'!$B$6:$B$85,"&gt;="&amp;A93,'Usage Log'!$B$6:$B$85,"&lt;"&amp;A93+1)</x:f>
        <x:v>4930995</x:v>
      </x:c>
      <x:c r="F93" s="79" t="n">
        <x:f>IF(B93=0,0,E93/B93)</x:f>
        <x:v>2465497.5</x:v>
      </x:c>
      <x:c r="G93" s="80" t="n">
        <x:f>SUMIFS('Usage Log'!$D$6:$D$85,'Usage Log'!$B$6:$B$85,"&gt;="&amp;A93,'Usage Log'!$B$6:$B$85,"&lt;"&amp;A93+1)/60</x:f>
        <x:v>0.598055555485189</x:v>
      </x:c>
      <x:c r="H93" s="90" t="str">
        <x:v>03 Aug</x:v>
      </x:c>
      <x:c r="I93" s="95" t="n">
        <x:f>E93</x:f>
        <x:v>4930995</x:v>
      </x:c>
    </x:row>
    <x:row r="94">
      <x:c r="A94" s="62" t="n">
        <x:v>46238</x:v>
      </x:c>
      <x:c r="B94" s="65" t="n">
        <x:f>COUNTIFS('Usage Log'!$B$6:$B$85,"&gt;="&amp;A94,'Usage Log'!$B$6:$B$85,"&lt;"&amp;A94+1)</x:f>
        <x:v>0</x:v>
      </x:c>
      <x:c r="C94" s="65" t="n">
        <x:f>COUNTIFS('Usage Log'!$B$6:$B$85,"&gt;="&amp;A94,'Usage Log'!$B$6:$B$85,"&lt;"&amp;A94+1,'Usage Log'!$E$6:$E$85,"Direct")</x:f>
        <x:v>0</x:v>
      </x:c>
      <x:c r="D94" s="65" t="n">
        <x:f>COUNTIFS('Usage Log'!$B$6:$B$85,"&gt;="&amp;A94,'Usage Log'!$B$6:$B$85,"&lt;"&amp;A94+1,'Usage Log'!$E$6:$E$85,"Sub-agent")</x:f>
        <x:v>0</x:v>
      </x:c>
      <x:c r="E94" s="68" t="n">
        <x:f>SUMIFS('Usage Log'!$J$6:$J$85,'Usage Log'!$B$6:$B$85,"&gt;="&amp;A94,'Usage Log'!$B$6:$B$85,"&lt;"&amp;A94+1)</x:f>
        <x:v>0</x:v>
      </x:c>
      <x:c r="F94" s="68" t="n">
        <x:f>IF(B94=0,0,E94/B94)</x:f>
        <x:v>0</x:v>
      </x:c>
      <x:c r="G94" s="71" t="n">
        <x:f>SUMIFS('Usage Log'!$D$6:$D$85,'Usage Log'!$B$6:$B$85,"&gt;="&amp;A94,'Usage Log'!$B$6:$B$85,"&lt;"&amp;A94+1)/60</x:f>
        <x:v>0</x:v>
      </x:c>
      <x:c r="H94" s="90" t="str">
        <x:v>04 Aug</x:v>
      </x:c>
      <x:c r="I94" s="95" t="n">
        <x:f>E94</x:f>
        <x:v>0</x:v>
      </x:c>
    </x:row>
    <x:row r="95">
      <x:c r="A95" s="77" t="n">
        <x:v>46239</x:v>
      </x:c>
      <x:c r="B95" s="78" t="n">
        <x:f>COUNTIFS('Usage Log'!$B$6:$B$85,"&gt;="&amp;A95,'Usage Log'!$B$6:$B$85,"&lt;"&amp;A95+1)</x:f>
        <x:v>0</x:v>
      </x:c>
      <x:c r="C95" s="78" t="n">
        <x:f>COUNTIFS('Usage Log'!$B$6:$B$85,"&gt;="&amp;A95,'Usage Log'!$B$6:$B$85,"&lt;"&amp;A95+1,'Usage Log'!$E$6:$E$85,"Direct")</x:f>
        <x:v>0</x:v>
      </x:c>
      <x:c r="D95" s="78" t="n">
        <x:f>COUNTIFS('Usage Log'!$B$6:$B$85,"&gt;="&amp;A95,'Usage Log'!$B$6:$B$85,"&lt;"&amp;A95+1,'Usage Log'!$E$6:$E$85,"Sub-agent")</x:f>
        <x:v>0</x:v>
      </x:c>
      <x:c r="E95" s="79" t="n">
        <x:f>SUMIFS('Usage Log'!$J$6:$J$85,'Usage Log'!$B$6:$B$85,"&gt;="&amp;A95,'Usage Log'!$B$6:$B$85,"&lt;"&amp;A95+1)</x:f>
        <x:v>0</x:v>
      </x:c>
      <x:c r="F95" s="79" t="n">
        <x:f>IF(B95=0,0,E95/B95)</x:f>
        <x:v>0</x:v>
      </x:c>
      <x:c r="G95" s="80" t="n">
        <x:f>SUMIFS('Usage Log'!$D$6:$D$85,'Usage Log'!$B$6:$B$85,"&gt;="&amp;A95,'Usage Log'!$B$6:$B$85,"&lt;"&amp;A95+1)/60</x:f>
        <x:v>0</x:v>
      </x:c>
      <x:c r="H95" s="90" t="str">
        <x:v>05 Aug</x:v>
      </x:c>
      <x:c r="I95" s="95" t="n">
        <x:f>E95</x:f>
        <x:v>0</x:v>
      </x:c>
    </x:row>
    <x:row r="96">
      <x:c r="A96" s="62" t="n">
        <x:v>46240</x:v>
      </x:c>
      <x:c r="B96" s="65" t="n">
        <x:f>COUNTIFS('Usage Log'!$B$6:$B$85,"&gt;="&amp;A96,'Usage Log'!$B$6:$B$85,"&lt;"&amp;A96+1)</x:f>
        <x:v>2</x:v>
      </x:c>
      <x:c r="C96" s="65" t="n">
        <x:f>COUNTIFS('Usage Log'!$B$6:$B$85,"&gt;="&amp;A96,'Usage Log'!$B$6:$B$85,"&lt;"&amp;A96+1,'Usage Log'!$E$6:$E$85,"Direct")</x:f>
        <x:v>1</x:v>
      </x:c>
      <x:c r="D96" s="65" t="n">
        <x:f>COUNTIFS('Usage Log'!$B$6:$B$85,"&gt;="&amp;A96,'Usage Log'!$B$6:$B$85,"&lt;"&amp;A96+1,'Usage Log'!$E$6:$E$85,"Sub-agent")</x:f>
        <x:v>1</x:v>
      </x:c>
      <x:c r="E96" s="68" t="n">
        <x:f>SUMIFS('Usage Log'!$J$6:$J$85,'Usage Log'!$B$6:$B$85,"&gt;="&amp;A96,'Usage Log'!$B$6:$B$85,"&lt;"&amp;A96+1)</x:f>
        <x:v>16847478</x:v>
      </x:c>
      <x:c r="F96" s="68" t="n">
        <x:f>IF(B96=0,0,E96/B96)</x:f>
        <x:v>8423739</x:v>
      </x:c>
      <x:c r="G96" s="71" t="n">
        <x:f>SUMIFS('Usage Log'!$D$6:$D$85,'Usage Log'!$B$6:$B$85,"&gt;="&amp;A96,'Usage Log'!$B$6:$B$85,"&lt;"&amp;A96+1)/60</x:f>
        <x:v>1.246388888976071</x:v>
      </x:c>
      <x:c r="H96" s="90" t="str">
        <x:v>06 Aug</x:v>
      </x:c>
      <x:c r="I96" s="95" t="n">
        <x:f>E96</x:f>
        <x:v>16847478</x:v>
      </x:c>
    </x:row>
    <x:row r="97">
      <x:c r="A97" s="77" t="n">
        <x:v>46241</x:v>
      </x:c>
      <x:c r="B97" s="78" t="n">
        <x:f>COUNTIFS('Usage Log'!$B$6:$B$85,"&gt;="&amp;A97,'Usage Log'!$B$6:$B$85,"&lt;"&amp;A97+1)</x:f>
        <x:v>0</x:v>
      </x:c>
      <x:c r="C97" s="78" t="n">
        <x:f>COUNTIFS('Usage Log'!$B$6:$B$85,"&gt;="&amp;A97,'Usage Log'!$B$6:$B$85,"&lt;"&amp;A97+1,'Usage Log'!$E$6:$E$85,"Direct")</x:f>
        <x:v>0</x:v>
      </x:c>
      <x:c r="D97" s="78" t="n">
        <x:f>COUNTIFS('Usage Log'!$B$6:$B$85,"&gt;="&amp;A97,'Usage Log'!$B$6:$B$85,"&lt;"&amp;A97+1,'Usage Log'!$E$6:$E$85,"Sub-agent")</x:f>
        <x:v>0</x:v>
      </x:c>
      <x:c r="E97" s="79" t="n">
        <x:f>SUMIFS('Usage Log'!$J$6:$J$85,'Usage Log'!$B$6:$B$85,"&gt;="&amp;A97,'Usage Log'!$B$6:$B$85,"&lt;"&amp;A97+1)</x:f>
        <x:v>0</x:v>
      </x:c>
      <x:c r="F97" s="79" t="n">
        <x:f>IF(B97=0,0,E97/B97)</x:f>
        <x:v>0</x:v>
      </x:c>
      <x:c r="G97" s="80" t="n">
        <x:f>SUMIFS('Usage Log'!$D$6:$D$85,'Usage Log'!$B$6:$B$85,"&gt;="&amp;A97,'Usage Log'!$B$6:$B$85,"&lt;"&amp;A97+1)/60</x:f>
        <x:v>0</x:v>
      </x:c>
      <x:c r="H97" s="90" t="str">
        <x:v>07 Aug</x:v>
      </x:c>
      <x:c r="I97" s="95" t="n">
        <x:f>E97</x:f>
        <x:v>0</x:v>
      </x:c>
    </x:row>
    <x:row r="98">
      <x:c r="A98" s="62" t="n">
        <x:v>46242</x:v>
      </x:c>
      <x:c r="B98" s="65" t="n">
        <x:f>COUNTIFS('Usage Log'!$B$6:$B$85,"&gt;="&amp;A98,'Usage Log'!$B$6:$B$85,"&lt;"&amp;A98+1)</x:f>
        <x:v>0</x:v>
      </x:c>
      <x:c r="C98" s="65" t="n">
        <x:f>COUNTIFS('Usage Log'!$B$6:$B$85,"&gt;="&amp;A98,'Usage Log'!$B$6:$B$85,"&lt;"&amp;A98+1,'Usage Log'!$E$6:$E$85,"Direct")</x:f>
        <x:v>0</x:v>
      </x:c>
      <x:c r="D98" s="65" t="n">
        <x:f>COUNTIFS('Usage Log'!$B$6:$B$85,"&gt;="&amp;A98,'Usage Log'!$B$6:$B$85,"&lt;"&amp;A98+1,'Usage Log'!$E$6:$E$85,"Sub-agent")</x:f>
        <x:v>0</x:v>
      </x:c>
      <x:c r="E98" s="68" t="n">
        <x:f>SUMIFS('Usage Log'!$J$6:$J$85,'Usage Log'!$B$6:$B$85,"&gt;="&amp;A98,'Usage Log'!$B$6:$B$85,"&lt;"&amp;A98+1)</x:f>
        <x:v>0</x:v>
      </x:c>
      <x:c r="F98" s="68" t="n">
        <x:f>IF(B98=0,0,E98/B98)</x:f>
        <x:v>0</x:v>
      </x:c>
      <x:c r="G98" s="71" t="n">
        <x:f>SUMIFS('Usage Log'!$D$6:$D$85,'Usage Log'!$B$6:$B$85,"&gt;="&amp;A98,'Usage Log'!$B$6:$B$85,"&lt;"&amp;A98+1)/60</x:f>
        <x:v>0</x:v>
      </x:c>
      <x:c r="H98" s="90" t="str">
        <x:v>08 Aug</x:v>
      </x:c>
      <x:c r="I98" s="95" t="n">
        <x:f>E98</x:f>
        <x:v>0</x:v>
      </x:c>
    </x:row>
    <x:row r="99">
      <x:c r="A99" s="77" t="n">
        <x:v>46243</x:v>
      </x:c>
      <x:c r="B99" s="78" t="n">
        <x:f>COUNTIFS('Usage Log'!$B$6:$B$85,"&gt;="&amp;A99,'Usage Log'!$B$6:$B$85,"&lt;"&amp;A99+1)</x:f>
        <x:v>4</x:v>
      </x:c>
      <x:c r="C99" s="78" t="n">
        <x:f>COUNTIFS('Usage Log'!$B$6:$B$85,"&gt;="&amp;A99,'Usage Log'!$B$6:$B$85,"&lt;"&amp;A99+1,'Usage Log'!$E$6:$E$85,"Direct")</x:f>
        <x:v>2</x:v>
      </x:c>
      <x:c r="D99" s="78" t="n">
        <x:f>COUNTIFS('Usage Log'!$B$6:$B$85,"&gt;="&amp;A99,'Usage Log'!$B$6:$B$85,"&lt;"&amp;A99+1,'Usage Log'!$E$6:$E$85,"Sub-agent")</x:f>
        <x:v>2</x:v>
      </x:c>
      <x:c r="E99" s="79" t="n">
        <x:f>SUMIFS('Usage Log'!$J$6:$J$85,'Usage Log'!$B$6:$B$85,"&gt;="&amp;A99,'Usage Log'!$B$6:$B$85,"&lt;"&amp;A99+1)</x:f>
        <x:v>25465118</x:v>
      </x:c>
      <x:c r="F99" s="79" t="n">
        <x:f>IF(B99=0,0,E99/B99)</x:f>
        <x:v>6366279.5</x:v>
      </x:c>
      <x:c r="G99" s="80" t="n">
        <x:f>SUMIFS('Usage Log'!$D$6:$D$85,'Usage Log'!$B$6:$B$85,"&gt;="&amp;A99,'Usage Log'!$B$6:$B$85,"&lt;"&amp;A99+1)/60</x:f>
        <x:v>3.200000000128057</x:v>
      </x:c>
      <x:c r="H99" s="90" t="str">
        <x:v>09 Aug</x:v>
      </x:c>
      <x:c r="I99" s="95" t="n">
        <x:f>E99</x:f>
        <x:v>25465118</x:v>
      </x:c>
    </x:row>
    <x:row r="100">
      <x:c r="A100" s="62" t="n">
        <x:v>46244</x:v>
      </x:c>
      <x:c r="B100" s="65" t="n">
        <x:f>COUNTIFS('Usage Log'!$B$6:$B$85,"&gt;="&amp;A100,'Usage Log'!$B$6:$B$85,"&lt;"&amp;A100+1)</x:f>
        <x:v>10</x:v>
      </x:c>
      <x:c r="C100" s="65" t="n">
        <x:f>COUNTIFS('Usage Log'!$B$6:$B$85,"&gt;="&amp;A100,'Usage Log'!$B$6:$B$85,"&lt;"&amp;A100+1,'Usage Log'!$E$6:$E$85,"Direct")</x:f>
        <x:v>7</x:v>
      </x:c>
      <x:c r="D100" s="65" t="n">
        <x:f>COUNTIFS('Usage Log'!$B$6:$B$85,"&gt;="&amp;A100,'Usage Log'!$B$6:$B$85,"&lt;"&amp;A100+1,'Usage Log'!$E$6:$E$85,"Sub-agent")</x:f>
        <x:v>3</x:v>
      </x:c>
      <x:c r="E100" s="68" t="n">
        <x:f>SUMIFS('Usage Log'!$J$6:$J$85,'Usage Log'!$B$6:$B$85,"&gt;="&amp;A100,'Usage Log'!$B$6:$B$85,"&lt;"&amp;A100+1)</x:f>
        <x:v>24488522</x:v>
      </x:c>
      <x:c r="F100" s="68" t="n">
        <x:f>IF(B100=0,0,E100/B100)</x:f>
        <x:v>2448852.2</x:v>
      </x:c>
      <x:c r="G100" s="71" t="n">
        <x:f>SUMIFS('Usage Log'!$D$6:$D$85,'Usage Log'!$B$6:$B$85,"&gt;="&amp;A100,'Usage Log'!$B$6:$B$85,"&lt;"&amp;A100+1)/60</x:f>
        <x:v>2.8138888888643123</x:v>
      </x:c>
      <x:c r="H100" s="90" t="str">
        <x:v>10 Aug</x:v>
      </x:c>
      <x:c r="I100" s="95" t="n">
        <x:f>E100</x:f>
        <x:v>24488522</x:v>
      </x:c>
    </x:row>
    <x:row r="101">
      <x:c r="A101" s="77" t="n">
        <x:v>46245</x:v>
      </x:c>
      <x:c r="B101" s="78" t="n">
        <x:f>COUNTIFS('Usage Log'!$B$6:$B$85,"&gt;="&amp;A101,'Usage Log'!$B$6:$B$85,"&lt;"&amp;A101+1)</x:f>
        <x:v>0</x:v>
      </x:c>
      <x:c r="C101" s="78" t="n">
        <x:f>COUNTIFS('Usage Log'!$B$6:$B$85,"&gt;="&amp;A101,'Usage Log'!$B$6:$B$85,"&lt;"&amp;A101+1,'Usage Log'!$E$6:$E$85,"Direct")</x:f>
        <x:v>0</x:v>
      </x:c>
      <x:c r="D101" s="78" t="n">
        <x:f>COUNTIFS('Usage Log'!$B$6:$B$85,"&gt;="&amp;A101,'Usage Log'!$B$6:$B$85,"&lt;"&amp;A101+1,'Usage Log'!$E$6:$E$85,"Sub-agent")</x:f>
        <x:v>0</x:v>
      </x:c>
      <x:c r="E101" s="79" t="n">
        <x:f>SUMIFS('Usage Log'!$J$6:$J$85,'Usage Log'!$B$6:$B$85,"&gt;="&amp;A101,'Usage Log'!$B$6:$B$85,"&lt;"&amp;A101+1)</x:f>
        <x:v>0</x:v>
      </x:c>
      <x:c r="F101" s="79" t="n">
        <x:f>IF(B101=0,0,E101/B101)</x:f>
        <x:v>0</x:v>
      </x:c>
      <x:c r="G101" s="80" t="n">
        <x:f>SUMIFS('Usage Log'!$D$6:$D$85,'Usage Log'!$B$6:$B$85,"&gt;="&amp;A101,'Usage Log'!$B$6:$B$85,"&lt;"&amp;A101+1)/60</x:f>
        <x:v>0</x:v>
      </x:c>
      <x:c r="H101" s="90" t="str">
        <x:v>11 Aug</x:v>
      </x:c>
      <x:c r="I101" s="95" t="n">
        <x:f>E101</x:f>
        <x:v>0</x:v>
      </x:c>
    </x:row>
    <x:row r="102">
      <x:c r="A102" s="62" t="n">
        <x:v>46246</x:v>
      </x:c>
      <x:c r="B102" s="65" t="n">
        <x:f>COUNTIFS('Usage Log'!$B$6:$B$85,"&gt;="&amp;A102,'Usage Log'!$B$6:$B$85,"&lt;"&amp;A102+1)</x:f>
        <x:v>2</x:v>
      </x:c>
      <x:c r="C102" s="65" t="n">
        <x:f>COUNTIFS('Usage Log'!$B$6:$B$85,"&gt;="&amp;A102,'Usage Log'!$B$6:$B$85,"&lt;"&amp;A102+1,'Usage Log'!$E$6:$E$85,"Direct")</x:f>
        <x:v>2</x:v>
      </x:c>
      <x:c r="D102" s="65" t="n">
        <x:f>COUNTIFS('Usage Log'!$B$6:$B$85,"&gt;="&amp;A102,'Usage Log'!$B$6:$B$85,"&lt;"&amp;A102+1,'Usage Log'!$E$6:$E$85,"Sub-agent")</x:f>
        <x:v>0</x:v>
      </x:c>
      <x:c r="E102" s="68" t="n">
        <x:f>SUMIFS('Usage Log'!$J$6:$J$85,'Usage Log'!$B$6:$B$85,"&gt;="&amp;A102,'Usage Log'!$B$6:$B$85,"&lt;"&amp;A102+1)</x:f>
        <x:v>5715631</x:v>
      </x:c>
      <x:c r="F102" s="68" t="n">
        <x:f>IF(B102=0,0,E102/B102)</x:f>
        <x:v>2857815.5</x:v>
      </x:c>
      <x:c r="G102" s="71" t="n">
        <x:f>SUMIFS('Usage Log'!$D$6:$D$85,'Usage Log'!$B$6:$B$85,"&gt;="&amp;A102,'Usage Log'!$B$6:$B$85,"&lt;"&amp;A102+1)/60</x:f>
        <x:v>2.2041666666045785</x:v>
      </x:c>
      <x:c r="H102" s="90" t="str">
        <x:v>12 Aug</x:v>
      </x:c>
      <x:c r="I102" s="95" t="n">
        <x:f>E102</x:f>
        <x:v>5715631</x:v>
      </x:c>
    </x:row>
    <x:row r="103">
      <x:c r="A103" s="77" t="n">
        <x:v>46247</x:v>
      </x:c>
      <x:c r="B103" s="78" t="n">
        <x:f>COUNTIFS('Usage Log'!$B$6:$B$85,"&gt;="&amp;A103,'Usage Log'!$B$6:$B$85,"&lt;"&amp;A103+1)</x:f>
        <x:v>3</x:v>
      </x:c>
      <x:c r="C103" s="78" t="n">
        <x:f>COUNTIFS('Usage Log'!$B$6:$B$85,"&gt;="&amp;A103,'Usage Log'!$B$6:$B$85,"&lt;"&amp;A103+1,'Usage Log'!$E$6:$E$85,"Direct")</x:f>
        <x:v>2</x:v>
      </x:c>
      <x:c r="D103" s="78" t="n">
        <x:f>COUNTIFS('Usage Log'!$B$6:$B$85,"&gt;="&amp;A103,'Usage Log'!$B$6:$B$85,"&lt;"&amp;A103+1,'Usage Log'!$E$6:$E$85,"Sub-agent")</x:f>
        <x:v>1</x:v>
      </x:c>
      <x:c r="E103" s="79" t="n">
        <x:f>SUMIFS('Usage Log'!$J$6:$J$85,'Usage Log'!$B$6:$B$85,"&gt;="&amp;A103,'Usage Log'!$B$6:$B$85,"&lt;"&amp;A103+1)</x:f>
        <x:v>20972123</x:v>
      </x:c>
      <x:c r="F103" s="79" t="n">
        <x:f>IF(B103=0,0,E103/B103)</x:f>
        <x:v>6990707.666666667</x:v>
      </x:c>
      <x:c r="G103" s="80" t="n">
        <x:f>SUMIFS('Usage Log'!$D$6:$D$85,'Usage Log'!$B$6:$B$85,"&gt;="&amp;A103,'Usage Log'!$B$6:$B$85,"&lt;"&amp;A103+1)/60</x:f>
        <x:v>2.23499999998603</x:v>
      </x:c>
      <x:c r="H103" s="90" t="str">
        <x:v>13 Aug</x:v>
      </x:c>
      <x:c r="I103" s="95" t="n">
        <x:f>E103</x:f>
        <x:v>20972123</x:v>
      </x:c>
    </x:row>
    <x:row r="104">
      <x:c r="A104" s="62" t="n">
        <x:v>46248</x:v>
      </x:c>
      <x:c r="B104" s="65" t="n">
        <x:f>COUNTIFS('Usage Log'!$B$6:$B$85,"&gt;="&amp;A104,'Usage Log'!$B$6:$B$85,"&lt;"&amp;A104+1)</x:f>
        <x:v>1</x:v>
      </x:c>
      <x:c r="C104" s="65" t="n">
        <x:f>COUNTIFS('Usage Log'!$B$6:$B$85,"&gt;="&amp;A104,'Usage Log'!$B$6:$B$85,"&lt;"&amp;A104+1,'Usage Log'!$E$6:$E$85,"Direct")</x:f>
        <x:v>1</x:v>
      </x:c>
      <x:c r="D104" s="65" t="n">
        <x:f>COUNTIFS('Usage Log'!$B$6:$B$85,"&gt;="&amp;A104,'Usage Log'!$B$6:$B$85,"&lt;"&amp;A104+1,'Usage Log'!$E$6:$E$85,"Sub-agent")</x:f>
        <x:v>0</x:v>
      </x:c>
      <x:c r="E104" s="68" t="n">
        <x:f>SUMIFS('Usage Log'!$J$6:$J$85,'Usage Log'!$B$6:$B$85,"&gt;="&amp;A104,'Usage Log'!$B$6:$B$85,"&lt;"&amp;A104+1)</x:f>
        <x:v>468108</x:v>
      </x:c>
      <x:c r="F104" s="68" t="n">
        <x:f>IF(B104=0,0,E104/B104)</x:f>
        <x:v>468108</x:v>
      </x:c>
      <x:c r="G104" s="71" t="n">
        <x:f>SUMIFS('Usage Log'!$D$6:$D$85,'Usage Log'!$B$6:$B$85,"&gt;="&amp;A104,'Usage Log'!$B$6:$B$85,"&lt;"&amp;A104+1)/60</x:f>
        <x:v>0.07416666654171422</x:v>
      </x:c>
      <x:c r="H104" s="90" t="str">
        <x:v>14 Aug</x:v>
      </x:c>
      <x:c r="I104" s="95" t="n">
        <x:f>E104</x:f>
        <x:v>468108</x:v>
      </x:c>
    </x:row>
    <x:row r="105">
      <x:c r="A105" s="81" t="n">
        <x:v>46249</x:v>
      </x:c>
      <x:c r="B105" s="82" t="n">
        <x:f>COUNTIFS('Usage Log'!$B$6:$B$85,"&gt;="&amp;A105,'Usage Log'!$B$6:$B$85,"&lt;"&amp;A105+1)</x:f>
        <x:v>3</x:v>
      </x:c>
      <x:c r="C105" s="82" t="n">
        <x:f>COUNTIFS('Usage Log'!$B$6:$B$85,"&gt;="&amp;A105,'Usage Log'!$B$6:$B$85,"&lt;"&amp;A105+1,'Usage Log'!$E$6:$E$85,"Direct")</x:f>
        <x:v>3</x:v>
      </x:c>
      <x:c r="D105" s="82" t="n">
        <x:f>COUNTIFS('Usage Log'!$B$6:$B$85,"&gt;="&amp;A105,'Usage Log'!$B$6:$B$85,"&lt;"&amp;A105+1,'Usage Log'!$E$6:$E$85,"Sub-agent")</x:f>
        <x:v>0</x:v>
      </x:c>
      <x:c r="E105" s="83" t="n">
        <x:f>SUMIFS('Usage Log'!$J$6:$J$85,'Usage Log'!$B$6:$B$85,"&gt;="&amp;A105,'Usage Log'!$B$6:$B$85,"&lt;"&amp;A105+1)</x:f>
        <x:v>7200260</x:v>
      </x:c>
      <x:c r="F105" s="83" t="n">
        <x:f>IF(B105=0,0,E105/B105)</x:f>
        <x:v>2400086.6666666665</x:v>
      </x:c>
      <x:c r="G105" s="84" t="n">
        <x:f>SUMIFS('Usage Log'!$D$6:$D$85,'Usage Log'!$B$6:$B$85,"&gt;="&amp;A105,'Usage Log'!$B$6:$B$85,"&lt;"&amp;A105+1)/60</x:f>
        <x:v>1.4063888888340443</x:v>
      </x:c>
      <x:c r="H105" s="92" t="str">
        <x:v>15 Aug</x:v>
      </x:c>
      <x:c r="I105" s="96" t="n">
        <x:f>E105</x:f>
        <x:v>7200260</x:v>
      </x:c>
    </x:row>
  </x:sheetData>
  <x:mergeCells>
    <x:mergeCell ref="A1:G1"/>
    <x:mergeCell ref="A2:G2"/>
  </x:mergeCells>
  <x:conditionalFormatting sqref="E5:E105">
    <x:cfRule type="dataBar" priority="1">
      <x:dataBar>
        <x:cfvo type="min"/>
        <x:cfvo type="max"/>
        <x:color rgb="2563EB"/>
      </x:dataBar>
      <x:extLst>
        <x:ext xmlns:x14="http://schemas.microsoft.com/office/spreadsheetml/2009/9/main" uri="{B025F937-C7B1-47D3-B67F-A62EFF666E3E}">
          <x14:id>{4266D4C9-AECD-5E79-E746-64815474CE54}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6cfe56f36a2486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266D4C9-AECD-5E79-E746-64815474CE54}">
            <x14:dataBar gradient="1">
              <x14:cfvo type="min"/>
              <x14:cfvo type="max"/>
              <x14:fillColor rgb="2563EB"/>
            </x14:dataBar>
          </x14:cfRule>
          <xm:sqref>E5:E105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9" hidden="0" customWidth="1"/>
    <x:col min="3" max="3" width="19" hidden="0" customWidth="1"/>
    <x:col min="4" max="4" width="14" hidden="0" customWidth="1"/>
    <x:col min="5" max="5" width="12" hidden="0" customWidth="1"/>
    <x:col min="6" max="6" width="29" hidden="0" customWidth="1"/>
    <x:col min="7" max="7" width="22" hidden="0" customWidth="1"/>
    <x:col min="8" max="8" width="14" hidden="0" customWidth="1"/>
    <x:col min="9" max="9" width="13" hidden="0" customWidth="1"/>
    <x:col min="10" max="10" width="15" hidden="0" customWidth="1"/>
    <x:col min="11" max="11" width="11" hidden="0" customWidth="1"/>
    <x:col min="12" max="12" width="42" hidden="0" customWidth="1"/>
  </x:cols>
  <x:sheetData>
    <x:row r="1" ht="34" customHeight="1">
      <x:c r="A1" s="4" t="str">
        <x:v>Codex Usage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6" t="str">
        <x:v>Thread-level metadata from the local Codex database • Africa/Kampala time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8" customHeight="1">
      <x:c r="A3" s="9" t="str">
        <x:v>Tokens are cumulative per thread and are attributed to the date on which that thread started. Message contents are not included.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5" ht="28" customHeight="1">
      <x:c r="A5" s="13" t="str">
        <x:v>Thread ID</x:v>
      </x:c>
      <x:c r="B5" s="13" t="str">
        <x:v>Started</x:v>
      </x:c>
      <x:c r="C5" s="13" t="str">
        <x:v>Last Updated</x:v>
      </x:c>
      <x:c r="D5" s="13" t="str">
        <x:v>Duration (min)</x:v>
      </x:c>
      <x:c r="E5" s="13" t="str">
        <x:v>Type</x:v>
      </x:c>
      <x:c r="F5" s="13" t="str">
        <x:v>Interface</x:v>
      </x:c>
      <x:c r="G5" s="13" t="str">
        <x:v>Model</x:v>
      </x:c>
      <x:c r="H5" s="13" t="str">
        <x:v>Provider</x:v>
      </x:c>
      <x:c r="I5" s="13" t="str">
        <x:v>Reasoning</x:v>
      </x:c>
      <x:c r="J5" s="13" t="str">
        <x:v>Tokens</x:v>
      </x:c>
      <x:c r="K5" s="13" t="str">
        <x:v>Archived</x:v>
      </x:c>
      <x:c r="L5" s="13" t="str">
        <x:v>Workspace</x:v>
      </x:c>
    </x:row>
    <x:row r="6">
      <x:c r="A6" s="47" t="str">
        <x:v>019e02b2-f8ed-74d2-9d3e-dec807d197f0</x:v>
      </x:c>
      <x:c r="B6" s="48" t="n">
        <x:v>46149.575740740744</x:v>
      </x:c>
      <x:c r="C6" s="48" t="n">
        <x:v>46149.57603009259</x:v>
      </x:c>
      <x:c r="D6" s="49" t="n">
        <x:f>(C6-B6)*1440</x:f>
        <x:v>0.4166666592936963</x:v>
      </x:c>
      <x:c r="E6" s="50" t="str">
        <x:f>IF(LEFT(F6,1)="{","Sub-agent","Direct")</x:f>
        <x:v>Direct</x:v>
      </x:c>
      <x:c r="F6" s="50" t="str">
        <x:v>exec</x:v>
      </x:c>
      <x:c r="G6" s="50" t="str">
        <x:v>openai/gpt-oss-20b</x:v>
      </x:c>
      <x:c r="H6" s="50" t="str">
        <x:v>lmstudio</x:v>
      </x:c>
      <x:c r="I6" s="50" t="str">
        <x:v>Default</x:v>
      </x:c>
      <x:c r="J6" s="51" t="n">
        <x:v>8760</x:v>
      </x:c>
      <x:c r="K6" s="50" t="str">
        <x:v>No</x:v>
      </x:c>
      <x:c r="L6" s="52" t="str">
        <x:v>/private/tmp/codex-test</x:v>
      </x:c>
    </x:row>
    <x:row r="7">
      <x:c r="A7" s="42" t="str">
        <x:v>019e6f05-8316-7183-a5ec-37b917254997</x:v>
      </x:c>
      <x:c r="B7" s="33" t="n">
        <x:v>46170.60986111111</x:v>
      </x:c>
      <x:c r="C7" s="33" t="n">
        <x:v>46170.62668981482</x:v>
      </x:c>
      <x:c r="D7" s="36" t="n">
        <x:f>(C7-B7)*1440</x:f>
        <x:v>24.23333334038034</x:v>
      </x:c>
      <x:c r="E7" s="27" t="str">
        <x:f>IF(LEFT(F7,1)="{","Sub-agent","Direct")</x:f>
        <x:v>Direct</x:v>
      </x:c>
      <x:c r="F7" s="27" t="str">
        <x:v>vscode</x:v>
      </x:c>
      <x:c r="G7" s="27" t="str">
        <x:v>gpt-5.5</x:v>
      </x:c>
      <x:c r="H7" s="27" t="str">
        <x:v>openai</x:v>
      </x:c>
      <x:c r="I7" s="27" t="str">
        <x:v>medium</x:v>
      </x:c>
      <x:c r="J7" s="39" t="n">
        <x:v>11806709</x:v>
      </x:c>
      <x:c r="K7" s="27" t="str">
        <x:v>No</x:v>
      </x:c>
      <x:c r="L7" s="45" t="str">
        <x:v>/Users/mike/aiagents</x:v>
      </x:c>
    </x:row>
    <x:row r="8">
      <x:c r="A8" s="53" t="str">
        <x:v>019eac91-81c0-7143-849a-c38246b4ab27</x:v>
      </x:c>
      <x:c r="B8" s="54" t="n">
        <x:v>46182.56107638889</x:v>
      </x:c>
      <x:c r="C8" s="54" t="n">
        <x:v>46182.56563657407</x:v>
      </x:c>
      <x:c r="D8" s="55" t="n">
        <x:f>(C8-B8)*1440</x:f>
        <x:v>6.5666666615288705</x:v>
      </x:c>
      <x:c r="E8" s="56" t="str">
        <x:f>IF(LEFT(F8,1)="{","Sub-agent","Direct")</x:f>
        <x:v>Direct</x:v>
      </x:c>
      <x:c r="F8" s="56" t="str">
        <x:v>vscode</x:v>
      </x:c>
      <x:c r="G8" s="56" t="str">
        <x:v>gpt-5.5</x:v>
      </x:c>
      <x:c r="H8" s="56" t="str">
        <x:v>openai</x:v>
      </x:c>
      <x:c r="I8" s="56" t="str">
        <x:v>medium</x:v>
      </x:c>
      <x:c r="J8" s="57" t="n">
        <x:v>594817</x:v>
      </x:c>
      <x:c r="K8" s="56" t="str">
        <x:v>No</x:v>
      </x:c>
      <x:c r="L8" s="58" t="str">
        <x:v>/Users/mike/aiagents</x:v>
      </x:c>
    </x:row>
    <x:row r="9">
      <x:c r="A9" s="42" t="str">
        <x:v>019eac93-7b0d-7ea1-bcf5-cd0288552a8b</x:v>
      </x:c>
      <x:c r="B9" s="33" t="n">
        <x:v>46182.562569444446</x:v>
      </x:c>
      <x:c r="C9" s="33" t="n">
        <x:v>46182.56533564815</x:v>
      </x:c>
      <x:c r="D9" s="36" t="n">
        <x:f>(C9-B9)*1440</x:f>
        <x:v>3.9833333319984376</x:v>
      </x:c>
      <x:c r="E9" s="27" t="str">
        <x:f>IF(LEFT(F9,1)="{","Sub-agent","Direct")</x:f>
        <x:v>Sub-agent</x:v>
      </x:c>
      <x:c r="F9" s="27" t="str">
        <x:v>{"subagent":{"other":"guardian"}}</x:v>
      </x:c>
      <x:c r="G9" s="27" t="str">
        <x:v>codex-auto-review</x:v>
      </x:c>
      <x:c r="H9" s="27" t="str">
        <x:v>openai</x:v>
      </x:c>
      <x:c r="I9" s="27" t="str">
        <x:v>low</x:v>
      </x:c>
      <x:c r="J9" s="39" t="n">
        <x:v>132969</x:v>
      </x:c>
      <x:c r="K9" s="27" t="str">
        <x:v>No</x:v>
      </x:c>
      <x:c r="L9" s="45" t="str">
        <x:v>/Users/mike/aiagents</x:v>
      </x:c>
    </x:row>
    <x:row r="10">
      <x:c r="A10" s="53" t="str">
        <x:v>019eb6d0-1615-7373-931a-f5dc81e774ab</x:v>
      </x:c>
      <x:c r="B10" s="54" t="n">
        <x:v>46184.55034722222</x:v>
      </x:c>
      <x:c r="C10" s="54" t="n">
        <x:v>46184.551782407405</x:v>
      </x:c>
      <x:c r="D10" s="55" t="n">
        <x:f>(C10-B10)*1440</x:f>
        <x:v>2.066666667815298</x:v>
      </x:c>
      <x:c r="E10" s="56" t="str">
        <x:f>IF(LEFT(F10,1)="{","Sub-agent","Direct")</x:f>
        <x:v>Direct</x:v>
      </x:c>
      <x:c r="F10" s="56" t="str">
        <x:v>vscode</x:v>
      </x:c>
      <x:c r="G10" s="56" t="str">
        <x:v>gpt-5.5</x:v>
      </x:c>
      <x:c r="H10" s="56" t="str">
        <x:v>openai</x:v>
      </x:c>
      <x:c r="I10" s="56" t="str">
        <x:v>medium</x:v>
      </x:c>
      <x:c r="J10" s="57" t="n">
        <x:v>109494</x:v>
      </x:c>
      <x:c r="K10" s="56" t="str">
        <x:v>No</x:v>
      </x:c>
      <x:c r="L10" s="58" t="str">
        <x:v>/Users/mike/Documents</x:v>
      </x:c>
    </x:row>
    <x:row r="11">
      <x:c r="A11" s="42" t="str">
        <x:v>019ebc00-8eae-7402-a320-833cfb95f0e3</x:v>
      </x:c>
      <x:c r="B11" s="33" t="n">
        <x:v>46185.558020833334</x:v>
      </x:c>
      <x:c r="C11" s="33" t="n">
        <x:v>46185.558391203704</x:v>
      </x:c>
      <x:c r="D11" s="36" t="n">
        <x:f>(C11-B11)*1440</x:f>
        <x:v>0.5333333322778344</x:v>
      </x:c>
      <x:c r="E11" s="27" t="str">
        <x:f>IF(LEFT(F11,1)="{","Sub-agent","Direct")</x:f>
        <x:v>Direct</x:v>
      </x:c>
      <x:c r="F11" s="27" t="str">
        <x:v>vscode</x:v>
      </x:c>
      <x:c r="G11" s="27" t="str">
        <x:v>gpt-5.5</x:v>
      </x:c>
      <x:c r="H11" s="27" t="str">
        <x:v>openai</x:v>
      </x:c>
      <x:c r="I11" s="27" t="str">
        <x:v>medium</x:v>
      </x:c>
      <x:c r="J11" s="39" t="n">
        <x:v>0</x:v>
      </x:c>
      <x:c r="K11" s="27" t="str">
        <x:v>No</x:v>
      </x:c>
      <x:c r="L11" s="45" t="str">
        <x:v>/Users/mike/Desktop/Hackathons/Arbitrum Open House London- Online Buildathon/CoverFi /coverfi-protocol-main</x:v>
      </x:c>
    </x:row>
    <x:row r="12">
      <x:c r="A12" s="53" t="str">
        <x:v>019f36fb-52b3-7d21-a995-0c117282d03a</x:v>
      </x:c>
      <x:c r="B12" s="54" t="n">
        <x:v>46209.43828703704</x:v>
      </x:c>
      <x:c r="C12" s="54" t="n">
        <x:v>46209.524872685186</x:v>
      </x:c>
      <x:c r="D12" s="55" t="n">
        <x:f>(C12-B12)*1440</x:f>
        <x:v>124.68333333148621</x:v>
      </x:c>
      <x:c r="E12" s="56" t="str">
        <x:f>IF(LEFT(F12,1)="{","Sub-agent","Direct")</x:f>
        <x:v>Direct</x:v>
      </x:c>
      <x:c r="F12" s="56" t="str">
        <x:v>vscode</x:v>
      </x:c>
      <x:c r="G12" s="56" t="str">
        <x:v>gpt-5.5</x:v>
      </x:c>
      <x:c r="H12" s="56" t="str">
        <x:v>openai</x:v>
      </x:c>
      <x:c r="I12" s="56" t="str">
        <x:v>medium</x:v>
      </x:c>
      <x:c r="J12" s="57" t="n">
        <x:v>21374057</x:v>
      </x:c>
      <x:c r="K12" s="56" t="str">
        <x:v>No</x:v>
      </x:c>
      <x:c r="L12" s="58" t="str">
        <x:v>/Users/mike/mimimoney/android</x:v>
      </x:c>
    </x:row>
    <x:row r="13">
      <x:c r="A13" s="42" t="str">
        <x:v>019f3705-9717-78f2-a47f-4c249191b13c</x:v>
      </x:c>
      <x:c r="B13" s="33" t="n">
        <x:v>46209.446076388886</x:v>
      </x:c>
      <x:c r="C13" s="33" t="n">
        <x:v>46209.52443287037</x:v>
      </x:c>
      <x:c r="D13" s="36" t="n">
        <x:f>(C13-B13)*1440</x:f>
        <x:v>112.83333333791234</x:v>
      </x:c>
      <x:c r="E13" s="27" t="str">
        <x:f>IF(LEFT(F13,1)="{","Sub-agent","Direct")</x:f>
        <x:v>Sub-agent</x:v>
      </x:c>
      <x:c r="F13" s="27" t="str">
        <x:v>{"subagent":{"other":"guardian"}}</x:v>
      </x:c>
      <x:c r="G13" s="27" t="str">
        <x:v>codex-auto-review</x:v>
      </x:c>
      <x:c r="H13" s="27" t="str">
        <x:v>openai</x:v>
      </x:c>
      <x:c r="I13" s="27" t="str">
        <x:v>low</x:v>
      </x:c>
      <x:c r="J13" s="39" t="n">
        <x:v>5450010</x:v>
      </x:c>
      <x:c r="K13" s="27" t="str">
        <x:v>No</x:v>
      </x:c>
      <x:c r="L13" s="45" t="str">
        <x:v>/Users/mike/mimimoney/android</x:v>
      </x:c>
    </x:row>
    <x:row r="14">
      <x:c r="A14" s="53" t="str">
        <x:v>019f3b46-8145-7ea2-b34b-eed5fbcc9bcd</x:v>
      </x:c>
      <x:c r="B14" s="54" t="n">
        <x:v>46210.27203703704</x:v>
      </x:c>
      <x:c r="C14" s="54" t="n">
        <x:v>46210.31019675926</x:v>
      </x:c>
      <x:c r="D14" s="55" t="n">
        <x:f>(C14-B14)*1440</x:f>
        <x:v>54.949999999953434</x:v>
      </x:c>
      <x:c r="E14" s="56" t="str">
        <x:f>IF(LEFT(F14,1)="{","Sub-agent","Direct")</x:f>
        <x:v>Direct</x:v>
      </x:c>
      <x:c r="F14" s="56" t="str">
        <x:v>vscode</x:v>
      </x:c>
      <x:c r="G14" s="56" t="str">
        <x:v>gpt-5.5</x:v>
      </x:c>
      <x:c r="H14" s="56" t="str">
        <x:v>openai</x:v>
      </x:c>
      <x:c r="I14" s="56" t="str">
        <x:v>medium</x:v>
      </x:c>
      <x:c r="J14" s="57" t="n">
        <x:v>4128115</x:v>
      </x:c>
      <x:c r="K14" s="56" t="str">
        <x:v>No</x:v>
      </x:c>
      <x:c r="L14" s="58" t="str">
        <x:v>/Users/mike/mimimoney/android</x:v>
      </x:c>
    </x:row>
    <x:row r="15">
      <x:c r="A15" s="42" t="str">
        <x:v>019f3b48-5d40-7d10-9720-b4d253f20c54</x:v>
      </x:c>
      <x:c r="B15" s="33" t="n">
        <x:v>46210.27344907408</x:v>
      </x:c>
      <x:c r="C15" s="33" t="n">
        <x:v>46210.30961805556</x:v>
      </x:c>
      <x:c r="D15" s="36" t="n">
        <x:f>(C15-B15)*1440</x:f>
        <x:v>52.083333333721384</x:v>
      </x:c>
      <x:c r="E15" s="27" t="str">
        <x:f>IF(LEFT(F15,1)="{","Sub-agent","Direct")</x:f>
        <x:v>Sub-agent</x:v>
      </x:c>
      <x:c r="F15" s="27" t="str">
        <x:v>{"subagent":{"other":"guardian"}}</x:v>
      </x:c>
      <x:c r="G15" s="27" t="str">
        <x:v>codex-auto-review</x:v>
      </x:c>
      <x:c r="H15" s="27" t="str">
        <x:v>openai</x:v>
      </x:c>
      <x:c r="I15" s="27" t="str">
        <x:v>low</x:v>
      </x:c>
      <x:c r="J15" s="39" t="n">
        <x:v>375702</x:v>
      </x:c>
      <x:c r="K15" s="27" t="str">
        <x:v>No</x:v>
      </x:c>
      <x:c r="L15" s="45" t="str">
        <x:v>/Users/mike/mimimoney/android</x:v>
      </x:c>
    </x:row>
    <x:row r="16">
      <x:c r="A16" s="53" t="str">
        <x:v>019f47e7-b65e-77e3-97b7-c4154e803424</x:v>
      </x:c>
      <x:c r="B16" s="54" t="n">
        <x:v>46212.72447916667</x:v>
      </x:c>
      <x:c r="C16" s="54" t="n">
        <x:v>46212.73685185185</x:v>
      </x:c>
      <x:c r="D16" s="55" t="n">
        <x:f>(C16-B16)*1440</x:f>
        <x:v>17.81666666152887</x:v>
      </x:c>
      <x:c r="E16" s="56" t="str">
        <x:f>IF(LEFT(F16,1)="{","Sub-agent","Direct")</x:f>
        <x:v>Direct</x:v>
      </x:c>
      <x:c r="F16" s="56" t="str">
        <x:v>vscode</x:v>
      </x:c>
      <x:c r="G16" s="56" t="str">
        <x:v>gpt-5.5</x:v>
      </x:c>
      <x:c r="H16" s="56" t="str">
        <x:v>openai</x:v>
      </x:c>
      <x:c r="I16" s="56" t="str">
        <x:v>medium</x:v>
      </x:c>
      <x:c r="J16" s="57" t="n">
        <x:v>905733</x:v>
      </x:c>
      <x:c r="K16" s="56" t="str">
        <x:v>No</x:v>
      </x:c>
      <x:c r="L16" s="58" t="str">
        <x:v>/Users/mike/mimimoney/android</x:v>
      </x:c>
    </x:row>
    <x:row r="17">
      <x:c r="A17" s="42" t="str">
        <x:v>019f47e8-2ccf-70f3-bafb-e8fd5700a2e2</x:v>
      </x:c>
      <x:c r="B17" s="33" t="n">
        <x:v>46212.72482638889</x:v>
      </x:c>
      <x:c r="C17" s="33" t="n">
        <x:v>46212.73703703703</x:v>
      </x:c>
      <x:c r="D17" s="36" t="n">
        <x:f>(C17-B17)*1440</x:f>
        <x:v>17.583333326037973</x:v>
      </x:c>
      <x:c r="E17" s="27" t="str">
        <x:f>IF(LEFT(F17,1)="{","Sub-agent","Direct")</x:f>
        <x:v>Sub-agent</x:v>
      </x:c>
      <x:c r="F17" s="27" t="str">
        <x:v>{"subagent":{"other":"guardian"}}</x:v>
      </x:c>
      <x:c r="G17" s="27" t="str">
        <x:v>codex-auto-review</x:v>
      </x:c>
      <x:c r="H17" s="27" t="str">
        <x:v>openai</x:v>
      </x:c>
      <x:c r="I17" s="27" t="str">
        <x:v>low</x:v>
      </x:c>
      <x:c r="J17" s="39" t="n">
        <x:v>79527</x:v>
      </x:c>
      <x:c r="K17" s="27" t="str">
        <x:v>No</x:v>
      </x:c>
      <x:c r="L17" s="45" t="str">
        <x:v>/Users/mike/mimimoney/android</x:v>
      </x:c>
    </x:row>
    <x:row r="18">
      <x:c r="A18" s="53" t="str">
        <x:v>019f4b0e-a4ea-7f00-a70c-cd3582756f0f</x:v>
      </x:c>
      <x:c r="B18" s="54" t="n">
        <x:v>46213.336550925924</x:v>
      </x:c>
      <x:c r="C18" s="54" t="n">
        <x:v>46213.338541666664</x:v>
      </x:c>
      <x:c r="D18" s="55" t="n">
        <x:f>(C18-B18)*1440</x:f>
        <x:v>2.8666666662320495</x:v>
      </x:c>
      <x:c r="E18" s="56" t="str">
        <x:f>IF(LEFT(F18,1)="{","Sub-agent","Direct")</x:f>
        <x:v>Direct</x:v>
      </x:c>
      <x:c r="F18" s="56" t="str">
        <x:v>vscode</x:v>
      </x:c>
      <x:c r="G18" s="56" t="str">
        <x:v>gpt-5.5</x:v>
      </x:c>
      <x:c r="H18" s="56" t="str">
        <x:v>openai</x:v>
      </x:c>
      <x:c r="I18" s="56" t="str">
        <x:v>medium</x:v>
      </x:c>
      <x:c r="J18" s="57" t="n">
        <x:v>333823</x:v>
      </x:c>
      <x:c r="K18" s="56" t="str">
        <x:v>No</x:v>
      </x:c>
      <x:c r="L18" s="58" t="str">
        <x:v>/Users/mike/mimimoney/android</x:v>
      </x:c>
    </x:row>
    <x:row r="19">
      <x:c r="A19" s="42" t="str">
        <x:v>019f4b0f-8683-77a1-b431-9ccdd52fc0c1</x:v>
      </x:c>
      <x:c r="B19" s="33" t="n">
        <x:v>46213.337222222224</x:v>
      </x:c>
      <x:c r="C19" s="33" t="n">
        <x:v>46213.33814814815</x:v>
      </x:c>
      <x:c r="D19" s="36" t="n">
        <x:f>(C19-B19)*1440</x:f>
        <x:v>1.333333330694586</x:v>
      </x:c>
      <x:c r="E19" s="27" t="str">
        <x:f>IF(LEFT(F19,1)="{","Sub-agent","Direct")</x:f>
        <x:v>Sub-agent</x:v>
      </x:c>
      <x:c r="F19" s="27" t="str">
        <x:v>{"subagent":{"other":"guardian"}}</x:v>
      </x:c>
      <x:c r="G19" s="27" t="str">
        <x:v>codex-auto-review</x:v>
      </x:c>
      <x:c r="H19" s="27" t="str">
        <x:v>openai</x:v>
      </x:c>
      <x:c r="I19" s="27" t="str">
        <x:v>low</x:v>
      </x:c>
      <x:c r="J19" s="39" t="n">
        <x:v>30716</x:v>
      </x:c>
      <x:c r="K19" s="27" t="str">
        <x:v>No</x:v>
      </x:c>
      <x:c r="L19" s="45" t="str">
        <x:v>/Users/mike/mimimoney/android</x:v>
      </x:c>
    </x:row>
    <x:row r="20">
      <x:c r="A20" s="53" t="str">
        <x:v>019f5c78-46b7-73b0-9b04-698bfd0742c6</x:v>
      </x:c>
      <x:c r="B20" s="54" t="n">
        <x:v>46216.71775462963</x:v>
      </x:c>
      <x:c r="C20" s="54" t="n">
        <x:v>46216.73173611111</x:v>
      </x:c>
      <x:c r="D20" s="55" t="n">
        <x:f>(C20-B20)*1440</x:f>
        <x:v>20.133333335397765</x:v>
      </x:c>
      <x:c r="E20" s="56" t="str">
        <x:f>IF(LEFT(F20,1)="{","Sub-agent","Direct")</x:f>
        <x:v>Direct</x:v>
      </x:c>
      <x:c r="F20" s="56" t="str">
        <x:v>vscode</x:v>
      </x:c>
      <x:c r="G20" s="56" t="str">
        <x:v>gpt-5.5</x:v>
      </x:c>
      <x:c r="H20" s="56" t="str">
        <x:v>openai</x:v>
      </x:c>
      <x:c r="I20" s="56" t="str">
        <x:v>medium</x:v>
      </x:c>
      <x:c r="J20" s="57" t="n">
        <x:v>1725680</x:v>
      </x:c>
      <x:c r="K20" s="56" t="str">
        <x:v>No</x:v>
      </x:c>
      <x:c r="L20" s="58" t="str">
        <x:v>/Users/mike/mimimoney/android</x:v>
      </x:c>
    </x:row>
    <x:row r="21">
      <x:c r="A21" s="42" t="str">
        <x:v>019f5c89-8fd9-76d3-b2cb-c98b9ac231f1</x:v>
      </x:c>
      <x:c r="B21" s="33" t="n">
        <x:v>46216.73085648148</x:v>
      </x:c>
      <x:c r="C21" s="33" t="n">
        <x:v>46216.731354166666</x:v>
      </x:c>
      <x:c r="D21" s="36" t="n">
        <x:f>(C21-B21)*1440</x:f>
        <x:v>0.7166666665580124</x:v>
      </x:c>
      <x:c r="E21" s="27" t="str">
        <x:f>IF(LEFT(F21,1)="{","Sub-agent","Direct")</x:f>
        <x:v>Sub-agent</x:v>
      </x:c>
      <x:c r="F21" s="27" t="str">
        <x:v>{"subagent":{"other":"guardian"}}</x:v>
      </x:c>
      <x:c r="G21" s="27" t="str">
        <x:v>codex-auto-review</x:v>
      </x:c>
      <x:c r="H21" s="27" t="str">
        <x:v>openai</x:v>
      </x:c>
      <x:c r="I21" s="27" t="str">
        <x:v>low</x:v>
      </x:c>
      <x:c r="J21" s="39" t="n">
        <x:v>40265</x:v>
      </x:c>
      <x:c r="K21" s="27" t="str">
        <x:v>No</x:v>
      </x:c>
      <x:c r="L21" s="45" t="str">
        <x:v>/Users/mike/mimimoney/android</x:v>
      </x:c>
    </x:row>
    <x:row r="22">
      <x:c r="A22" s="53" t="str">
        <x:v>019f6138-a2ad-7630-acc6-73a5e97e67cc</x:v>
      </x:c>
      <x:c r="B22" s="54" t="n">
        <x:v>46217.640381944446</x:v>
      </x:c>
      <x:c r="C22" s="54" t="n">
        <x:v>46217.68587962963</x:v>
      </x:c>
      <x:c r="D22" s="55" t="n">
        <x:f>(C22-B22)*1440</x:f>
        <x:v>65.51666666404344</x:v>
      </x:c>
      <x:c r="E22" s="56" t="str">
        <x:f>IF(LEFT(F22,1)="{","Sub-agent","Direct")</x:f>
        <x:v>Direct</x:v>
      </x:c>
      <x:c r="F22" s="56" t="str">
        <x:v>vscode</x:v>
      </x:c>
      <x:c r="G22" s="56" t="str">
        <x:v>gpt-5.6-sol</x:v>
      </x:c>
      <x:c r="H22" s="56" t="str">
        <x:v>openai</x:v>
      </x:c>
      <x:c r="I22" s="56" t="str">
        <x:v>medium</x:v>
      </x:c>
      <x:c r="J22" s="57" t="n">
        <x:v>35677037</x:v>
      </x:c>
      <x:c r="K22" s="56" t="str">
        <x:v>No</x:v>
      </x:c>
      <x:c r="L22" s="58" t="str">
        <x:v>/Users/mike/mimimoney/android</x:v>
      </x:c>
    </x:row>
    <x:row r="23">
      <x:c r="A23" s="42" t="str">
        <x:v>019f613c-e707-70c2-acb6-8d4910098a1d</x:v>
      </x:c>
      <x:c r="B23" s="33" t="n">
        <x:v>46217.64362268519</x:v>
      </x:c>
      <x:c r="C23" s="33" t="n">
        <x:v>46217.68252314815</x:v>
      </x:c>
      <x:c r="D23" s="36" t="n">
        <x:f>(C23-B23)*1440</x:f>
        <x:v>56.0166666645091</x:v>
      </x:c>
      <x:c r="E23" s="27" t="str">
        <x:f>IF(LEFT(F23,1)="{","Sub-agent","Direct")</x:f>
        <x:v>Sub-agent</x:v>
      </x:c>
      <x:c r="F23" s="27" t="str">
        <x:v>{"subagent":{"other":"guardian"}}</x:v>
      </x:c>
      <x:c r="G23" s="27" t="str">
        <x:v>codex-auto-review</x:v>
      </x:c>
      <x:c r="H23" s="27" t="str">
        <x:v>openai</x:v>
      </x:c>
      <x:c r="I23" s="27" t="str">
        <x:v>low</x:v>
      </x:c>
      <x:c r="J23" s="39" t="n">
        <x:v>2189632</x:v>
      </x:c>
      <x:c r="K23" s="27" t="str">
        <x:v>No</x:v>
      </x:c>
      <x:c r="L23" s="45" t="str">
        <x:v>/Users/mike/mimimoney/android</x:v>
      </x:c>
    </x:row>
    <x:row r="24">
      <x:c r="A24" s="53" t="str">
        <x:v>019f646f-5297-7792-a39b-7428e787ac47</x:v>
      </x:c>
      <x:c r="B24" s="54" t="n">
        <x:v>46218.26440972222</x:v>
      </x:c>
      <x:c r="C24" s="54" t="n">
        <x:v>46218.28763888889</x:v>
      </x:c>
      <x:c r="D24" s="55" t="n">
        <x:f>(C24-B24)*1440</x:f>
        <x:v>33.45000000321306</x:v>
      </x:c>
      <x:c r="E24" s="56" t="str">
        <x:f>IF(LEFT(F24,1)="{","Sub-agent","Direct")</x:f>
        <x:v>Direct</x:v>
      </x:c>
      <x:c r="F24" s="56" t="str">
        <x:v>vscode</x:v>
      </x:c>
      <x:c r="G24" s="56" t="str">
        <x:v>gpt-5.6-sol</x:v>
      </x:c>
      <x:c r="H24" s="56" t="str">
        <x:v>openai</x:v>
      </x:c>
      <x:c r="I24" s="56" t="str">
        <x:v>medium</x:v>
      </x:c>
      <x:c r="J24" s="57" t="n">
        <x:v>2882212</x:v>
      </x:c>
      <x:c r="K24" s="56" t="str">
        <x:v>No</x:v>
      </x:c>
      <x:c r="L24" s="58" t="str">
        <x:v>/Users/mike/mimimoney/android</x:v>
      </x:c>
    </x:row>
    <x:row r="25">
      <x:c r="A25" s="42" t="str">
        <x:v>019f647c-c5d3-73c2-9e42-a03d4c3f1ef9</x:v>
      </x:c>
      <x:c r="B25" s="33" t="n">
        <x:v>46218.27460648148</x:v>
      </x:c>
      <x:c r="C25" s="33" t="n">
        <x:v>46218.27722222222</x:v>
      </x:c>
      <x:c r="D25" s="36" t="n">
        <x:f>(C25-B25)*1440</x:f>
        <x:v>3.76666666707024</x:v>
      </x:c>
      <x:c r="E25" s="27" t="str">
        <x:f>IF(LEFT(F25,1)="{","Sub-agent","Direct")</x:f>
        <x:v>Sub-agent</x:v>
      </x:c>
      <x:c r="F25" s="27" t="str">
        <x:v>{"subagent":{"other":"guardian"}}</x:v>
      </x:c>
      <x:c r="G25" s="27" t="str">
        <x:v>codex-auto-review</x:v>
      </x:c>
      <x:c r="H25" s="27" t="str">
        <x:v>openai</x:v>
      </x:c>
      <x:c r="I25" s="27" t="str">
        <x:v>low</x:v>
      </x:c>
      <x:c r="J25" s="39" t="n">
        <x:v>35543</x:v>
      </x:c>
      <x:c r="K25" s="27" t="str">
        <x:v>No</x:v>
      </x:c>
      <x:c r="L25" s="45" t="str">
        <x:v>/Users/mike/mimimoney/android</x:v>
      </x:c>
    </x:row>
    <x:row r="26">
      <x:c r="A26" s="53" t="str">
        <x:v>019f756d-579c-76f0-b599-b4bafeb58c27</x:v>
      </x:c>
      <x:c r="B26" s="54" t="n">
        <x:v>46221.56396990741</x:v>
      </x:c>
      <x:c r="C26" s="54" t="n">
        <x:v>46222.50708333333</x:v>
      </x:c>
      <x:c r="D26" s="55" t="n">
        <x:f>(C26-B26)*1440</x:f>
        <x:v>1358.0833333265036</x:v>
      </x:c>
      <x:c r="E26" s="56" t="str">
        <x:f>IF(LEFT(F26,1)="{","Sub-agent","Direct")</x:f>
        <x:v>Direct</x:v>
      </x:c>
      <x:c r="F26" s="56" t="str">
        <x:v>vscode</x:v>
      </x:c>
      <x:c r="G26" s="56" t="str">
        <x:v>gpt-5.6-sol</x:v>
      </x:c>
      <x:c r="H26" s="56" t="str">
        <x:v>openai</x:v>
      </x:c>
      <x:c r="I26" s="56" t="str">
        <x:v>medium</x:v>
      </x:c>
      <x:c r="J26" s="57" t="n">
        <x:v>49200128</x:v>
      </x:c>
      <x:c r="K26" s="56" t="str">
        <x:v>No</x:v>
      </x:c>
      <x:c r="L26" s="58" t="str">
        <x:v>/Users/mike/mimimoney/update36/android</x:v>
      </x:c>
    </x:row>
    <x:row r="27">
      <x:c r="A27" s="42" t="str">
        <x:v>019f756f-cd43-7813-9121-80da64fa8bd6</x:v>
      </x:c>
      <x:c r="B27" s="33" t="n">
        <x:v>46221.56584490741</x:v>
      </x:c>
      <x:c r="C27" s="33" t="n">
        <x:v>46221.69684027778</x:v>
      </x:c>
      <x:c r="D27" s="36" t="n">
        <x:f>(C27-B27)*1440</x:f>
        <x:v>188.63333332934417</x:v>
      </x:c>
      <x:c r="E27" s="27" t="str">
        <x:f>IF(LEFT(F27,1)="{","Sub-agent","Direct")</x:f>
        <x:v>Sub-agent</x:v>
      </x:c>
      <x:c r="F27" s="27" t="str">
        <x:v>{"subagent":{"other":"guardian"}}</x:v>
      </x:c>
      <x:c r="G27" s="27" t="str">
        <x:v>codex-auto-review</x:v>
      </x:c>
      <x:c r="H27" s="27" t="str">
        <x:v>openai</x:v>
      </x:c>
      <x:c r="I27" s="27" t="str">
        <x:v>low</x:v>
      </x:c>
      <x:c r="J27" s="39" t="n">
        <x:v>18927513</x:v>
      </x:c>
      <x:c r="K27" s="27" t="str">
        <x:v>No</x:v>
      </x:c>
      <x:c r="L27" s="45" t="str">
        <x:v>/Users/mike/mimimoney/update36/android</x:v>
      </x:c>
    </x:row>
    <x:row r="28">
      <x:c r="A28" s="53" t="str">
        <x:v>019f7a64-a717-7a31-a59f-df5819243356</x:v>
      </x:c>
      <x:c r="B28" s="54" t="n">
        <x:v>46222.528287037036</x:v>
      </x:c>
      <x:c r="C28" s="54" t="n">
        <x:v>46222.569085648145</x:v>
      </x:c>
      <x:c r="D28" s="55" t="n">
        <x:f>(C28-B28)*1440</x:f>
        <x:v>58.749999997671694</x:v>
      </x:c>
      <x:c r="E28" s="56" t="str">
        <x:f>IF(LEFT(F28,1)="{","Sub-agent","Direct")</x:f>
        <x:v>Direct</x:v>
      </x:c>
      <x:c r="F28" s="56" t="str">
        <x:v>vscode</x:v>
      </x:c>
      <x:c r="G28" s="56" t="str">
        <x:v>gpt-5.6-sol</x:v>
      </x:c>
      <x:c r="H28" s="56" t="str">
        <x:v>openai</x:v>
      </x:c>
      <x:c r="I28" s="56" t="str">
        <x:v>medium</x:v>
      </x:c>
      <x:c r="J28" s="57" t="n">
        <x:v>14575755</x:v>
      </x:c>
      <x:c r="K28" s="56" t="str">
        <x:v>No</x:v>
      </x:c>
      <x:c r="L28" s="58" t="str">
        <x:v>/Users/mike/mimimoney/update35/android</x:v>
      </x:c>
    </x:row>
    <x:row r="29">
      <x:c r="A29" s="42" t="str">
        <x:v>019f7a68-d683-7c12-b337-8f66a83b4b37</x:v>
      </x:c>
      <x:c r="B29" s="33" t="n">
        <x:v>46222.53145833333</x:v>
      </x:c>
      <x:c r="C29" s="33" t="n">
        <x:v>46222.56890046296</x:v>
      </x:c>
      <x:c r="D29" s="36" t="n">
        <x:f>(C29-B29)*1440</x:f>
        <x:v>53.916666666045785</x:v>
      </x:c>
      <x:c r="E29" s="27" t="str">
        <x:f>IF(LEFT(F29,1)="{","Sub-agent","Direct")</x:f>
        <x:v>Sub-agent</x:v>
      </x:c>
      <x:c r="F29" s="27" t="str">
        <x:v>{"subagent":{"other":"guardian"}}</x:v>
      </x:c>
      <x:c r="G29" s="27" t="str">
        <x:v>codex-auto-review</x:v>
      </x:c>
      <x:c r="H29" s="27" t="str">
        <x:v>openai</x:v>
      </x:c>
      <x:c r="I29" s="27" t="str">
        <x:v>low</x:v>
      </x:c>
      <x:c r="J29" s="39" t="n">
        <x:v>694155</x:v>
      </x:c>
      <x:c r="K29" s="27" t="str">
        <x:v>No</x:v>
      </x:c>
      <x:c r="L29" s="45" t="str">
        <x:v>/Users/mike/mimimoney/update35/android</x:v>
      </x:c>
    </x:row>
    <x:row r="30">
      <x:c r="A30" s="53" t="str">
        <x:v>019f808d-048e-7563-a5ec-a61a28447b98</x:v>
      </x:c>
      <x:c r="B30" s="54" t="n">
        <x:v>46223.72399305556</x:v>
      </x:c>
      <x:c r="C30" s="54" t="n">
        <x:v>46223.73826388889</x:v>
      </x:c>
      <x:c r="D30" s="55" t="n">
        <x:f>(C30-B30)*1440</x:f>
        <x:v>20.54999999469146</x:v>
      </x:c>
      <x:c r="E30" s="56" t="str">
        <x:f>IF(LEFT(F30,1)="{","Sub-agent","Direct")</x:f>
        <x:v>Direct</x:v>
      </x:c>
      <x:c r="F30" s="56" t="str">
        <x:v>vscode</x:v>
      </x:c>
      <x:c r="G30" s="56" t="str">
        <x:v>gpt-5.6-sol</x:v>
      </x:c>
      <x:c r="H30" s="56" t="str">
        <x:v>openai</x:v>
      </x:c>
      <x:c r="I30" s="56" t="str">
        <x:v>medium</x:v>
      </x:c>
      <x:c r="J30" s="57" t="n">
        <x:v>2331211</x:v>
      </x:c>
      <x:c r="K30" s="56" t="str">
        <x:v>No</x:v>
      </x:c>
      <x:c r="L30" s="58" t="str">
        <x:v>/Users/mike/Desktop/Hackathons/Global AI Agents Qwen Cloud Devpost/Zera</x:v>
      </x:c>
    </x:row>
    <x:row r="31">
      <x:c r="A31" s="42" t="str">
        <x:v>019f809d-d840-7331-aee0-423dd3235170</x:v>
      </x:c>
      <x:c r="B31" s="33" t="n">
        <x:v>46223.736759259256</x:v>
      </x:c>
      <x:c r="C31" s="33" t="n">
        <x:v>46223.736863425926</x:v>
      </x:c>
      <x:c r="D31" s="36" t="n">
        <x:f>(C31-B31)*1440</x:f>
        <x:v>0.15000000363215804</x:v>
      </x:c>
      <x:c r="E31" s="27" t="str">
        <x:f>IF(LEFT(F31,1)="{","Sub-agent","Direct")</x:f>
        <x:v>Sub-agent</x:v>
      </x:c>
      <x:c r="F31" s="27" t="str">
        <x:v>{"subagent":{"other":"guardian"}}</x:v>
      </x:c>
      <x:c r="G31" s="27" t="str">
        <x:v>codex-auto-review</x:v>
      </x:c>
      <x:c r="H31" s="27" t="str">
        <x:v>openai</x:v>
      </x:c>
      <x:c r="I31" s="27" t="str">
        <x:v>low</x:v>
      </x:c>
      <x:c r="J31" s="39" t="n">
        <x:v>15957</x:v>
      </x:c>
      <x:c r="K31" s="27" t="str">
        <x:v>No</x:v>
      </x:c>
      <x:c r="L31" s="45" t="str">
        <x:v>/Users/mike/Desktop/Hackathons/Global AI Agents Qwen Cloud Devpost/Zera</x:v>
      </x:c>
    </x:row>
    <x:row r="32">
      <x:c r="A32" s="53" t="str">
        <x:v>019f835b-7fca-7091-ada9-e0dceae30493</x:v>
      </x:c>
      <x:c r="B32" s="54" t="n">
        <x:v>46224.26896990741</x:v>
      </x:c>
      <x:c r="C32" s="54" t="n">
        <x:v>46224.2696875</x:v>
      </x:c>
      <x:c r="D32" s="55" t="n">
        <x:f>(C32-B32)*1440</x:f>
        <x:v>1.03333332343027</x:v>
      </x:c>
      <x:c r="E32" s="56" t="str">
        <x:f>IF(LEFT(F32,1)="{","Sub-agent","Direct")</x:f>
        <x:v>Direct</x:v>
      </x:c>
      <x:c r="F32" s="56" t="str">
        <x:v>vscode</x:v>
      </x:c>
      <x:c r="G32" s="56" t="str">
        <x:v>gpt-5.6-sol</x:v>
      </x:c>
      <x:c r="H32" s="56" t="str">
        <x:v>openai</x:v>
      </x:c>
      <x:c r="I32" s="56" t="str">
        <x:v>medium</x:v>
      </x:c>
      <x:c r="J32" s="57" t="n">
        <x:v>97425</x:v>
      </x:c>
      <x:c r="K32" s="56" t="str">
        <x:v>No</x:v>
      </x:c>
      <x:c r="L32" s="58" t="str">
        <x:v>/Users/mike/Desktop/Hackathons/Global AI Agents Qwen Cloud Devpost/Zera/Zera-qwen</x:v>
      </x:c>
    </x:row>
    <x:row r="33">
      <x:c r="A33" s="42" t="str">
        <x:v>019f846a-bf3d-7a31-937d-cf5c86cca8fb</x:v>
      </x:c>
      <x:c r="B33" s="33" t="n">
        <x:v>46224.47472222222</x:v>
      </x:c>
      <x:c r="C33" s="33" t="n">
        <x:v>46224.47524305555</x:v>
      </x:c>
      <x:c r="D33" s="36" t="n">
        <x:f>(C33-B33)*1440</x:f>
        <x:v>0.7499999972060323</x:v>
      </x:c>
      <x:c r="E33" s="27" t="str">
        <x:f>IF(LEFT(F33,1)="{","Sub-agent","Direct")</x:f>
        <x:v>Direct</x:v>
      </x:c>
      <x:c r="F33" s="27" t="str">
        <x:v>vscode</x:v>
      </x:c>
      <x:c r="G33" s="27" t="str">
        <x:v>gpt-5.6-sol</x:v>
      </x:c>
      <x:c r="H33" s="27" t="str">
        <x:v>openai</x:v>
      </x:c>
      <x:c r="I33" s="27" t="str">
        <x:v>medium</x:v>
      </x:c>
      <x:c r="J33" s="39" t="n">
        <x:v>107510</x:v>
      </x:c>
      <x:c r="K33" s="27" t="str">
        <x:v>No</x:v>
      </x:c>
      <x:c r="L33" s="45" t="str">
        <x:v>/Users/mike/Desktop/Hackathons/Global AI Agents Qwen Cloud Devpost/Zera-qwen final</x:v>
      </x:c>
    </x:row>
    <x:row r="34">
      <x:c r="A34" s="53" t="str">
        <x:v>019f8f01-057d-7c50-9771-8d736f9aa9f3</x:v>
      </x:c>
      <x:c r="B34" s="54" t="n">
        <x:v>46226.53050925926</x:v>
      </x:c>
      <x:c r="C34" s="54" t="n">
        <x:v>46226.577997685185</x:v>
      </x:c>
      <x:c r="D34" s="55" t="n">
        <x:f>(C34-B34)*1440</x:f>
        <x:v>68.38333333027549</x:v>
      </x:c>
      <x:c r="E34" s="56" t="str">
        <x:f>IF(LEFT(F34,1)="{","Sub-agent","Direct")</x:f>
        <x:v>Direct</x:v>
      </x:c>
      <x:c r="F34" s="56" t="str">
        <x:v>vscode</x:v>
      </x:c>
      <x:c r="G34" s="56" t="str">
        <x:v>gpt-5.6-sol</x:v>
      </x:c>
      <x:c r="H34" s="56" t="str">
        <x:v>openai</x:v>
      </x:c>
      <x:c r="I34" s="56" t="str">
        <x:v>medium</x:v>
      </x:c>
      <x:c r="J34" s="57" t="n">
        <x:v>13077101</x:v>
      </x:c>
      <x:c r="K34" s="56" t="str">
        <x:v>No</x:v>
      </x:c>
      <x:c r="L34" s="58" t="str">
        <x:v>/Users/mike/mimimoney/update36/android</x:v>
      </x:c>
    </x:row>
    <x:row r="35">
      <x:c r="A35" s="42" t="str">
        <x:v>019f8f04-c506-70f2-999d-fe9b451cb799</x:v>
      </x:c>
      <x:c r="B35" s="33" t="n">
        <x:v>46226.53335648148</x:v>
      </x:c>
      <x:c r="C35" s="33" t="n">
        <x:v>46226.557280092595</x:v>
      </x:c>
      <x:c r="D35" s="36" t="n">
        <x:f>(C35-B35)*1440</x:f>
        <x:v>34.45000000647269</x:v>
      </x:c>
      <x:c r="E35" s="27" t="str">
        <x:f>IF(LEFT(F35,1)="{","Sub-agent","Direct")</x:f>
        <x:v>Sub-agent</x:v>
      </x:c>
      <x:c r="F35" s="27" t="str">
        <x:v>{"subagent":{"other":"guardian"}}</x:v>
      </x:c>
      <x:c r="G35" s="27" t="str">
        <x:v>codex-auto-review</x:v>
      </x:c>
      <x:c r="H35" s="27" t="str">
        <x:v>openai</x:v>
      </x:c>
      <x:c r="I35" s="27" t="str">
        <x:v>low</x:v>
      </x:c>
      <x:c r="J35" s="39" t="n">
        <x:v>493799</x:v>
      </x:c>
      <x:c r="K35" s="27" t="str">
        <x:v>No</x:v>
      </x:c>
      <x:c r="L35" s="45" t="str">
        <x:v>/Users/mike/mimimoney/update36/android</x:v>
      </x:c>
    </x:row>
    <x:row r="36">
      <x:c r="A36" s="53" t="str">
        <x:v>019f9026-6bd4-74c2-986d-d979ee49360d</x:v>
      </x:c>
      <x:c r="B36" s="54" t="n">
        <x:v>46226.75305555556</x:v>
      </x:c>
      <x:c r="C36" s="54" t="n">
        <x:v>46226.78021990741</x:v>
      </x:c>
      <x:c r="D36" s="55" t="n">
        <x:f>(C36-B36)*1440</x:f>
        <x:v>39.11666666390374</x:v>
      </x:c>
      <x:c r="E36" s="56" t="str">
        <x:f>IF(LEFT(F36,1)="{","Sub-agent","Direct")</x:f>
        <x:v>Direct</x:v>
      </x:c>
      <x:c r="F36" s="56" t="str">
        <x:v>vscode</x:v>
      </x:c>
      <x:c r="G36" s="56" t="str">
        <x:v>gpt-5.6-sol</x:v>
      </x:c>
      <x:c r="H36" s="56" t="str">
        <x:v>openai</x:v>
      </x:c>
      <x:c r="I36" s="56" t="str">
        <x:v>medium</x:v>
      </x:c>
      <x:c r="J36" s="57" t="n">
        <x:v>28053516</x:v>
      </x:c>
      <x:c r="K36" s="56" t="str">
        <x:v>No</x:v>
      </x:c>
      <x:c r="L36" s="58" t="str">
        <x:v>/Users/mike/mimimoney/update36/android</x:v>
      </x:c>
    </x:row>
    <x:row r="37">
      <x:c r="A37" s="42" t="str">
        <x:v>019f9027-b275-72b3-a89f-414d485b43a8</x:v>
      </x:c>
      <x:c r="B37" s="33" t="n">
        <x:v>46226.75402777778</x:v>
      </x:c>
      <x:c r="C37" s="33" t="n">
        <x:v>46226.77952546296</x:v>
      </x:c>
      <x:c r="D37" s="36" t="n">
        <x:f>(C37-B37)*1440</x:f>
        <x:v>36.71666665817611</x:v>
      </x:c>
      <x:c r="E37" s="27" t="str">
        <x:f>IF(LEFT(F37,1)="{","Sub-agent","Direct")</x:f>
        <x:v>Sub-agent</x:v>
      </x:c>
      <x:c r="F37" s="27" t="str">
        <x:v>{"subagent":{"other":"guardian"}}</x:v>
      </x:c>
      <x:c r="G37" s="27" t="str">
        <x:v>codex-auto-review</x:v>
      </x:c>
      <x:c r="H37" s="27" t="str">
        <x:v>openai</x:v>
      </x:c>
      <x:c r="I37" s="27" t="str">
        <x:v>low</x:v>
      </x:c>
      <x:c r="J37" s="39" t="n">
        <x:v>599860</x:v>
      </x:c>
      <x:c r="K37" s="27" t="str">
        <x:v>No</x:v>
      </x:c>
      <x:c r="L37" s="45" t="str">
        <x:v>/Users/mike/mimimoney/update36/android</x:v>
      </x:c>
    </x:row>
    <x:row r="38">
      <x:c r="A38" s="53" t="str">
        <x:v>019f93cd-d369-7af2-8eeb-1c6a1ebde9bb</x:v>
      </x:c>
      <x:c r="B38" s="54" t="n">
        <x:v>46227.46258101852</x:v>
      </x:c>
      <x:c r="C38" s="54" t="n">
        <x:v>46227.757627314815</x:v>
      </x:c>
      <x:c r="D38" s="55" t="n">
        <x:f>(C38-B38)*1440</x:f>
        <x:v>424.86666666925885</x:v>
      </x:c>
      <x:c r="E38" s="56" t="str">
        <x:f>IF(LEFT(F38,1)="{","Sub-agent","Direct")</x:f>
        <x:v>Direct</x:v>
      </x:c>
      <x:c r="F38" s="56" t="str">
        <x:v>vscode</x:v>
      </x:c>
      <x:c r="G38" s="56" t="str">
        <x:v>gpt-5.6-sol</x:v>
      </x:c>
      <x:c r="H38" s="56" t="str">
        <x:v>openai</x:v>
      </x:c>
      <x:c r="I38" s="56" t="str">
        <x:v>medium</x:v>
      </x:c>
      <x:c r="J38" s="57" t="n">
        <x:v>32898715</x:v>
      </x:c>
      <x:c r="K38" s="56" t="str">
        <x:v>No</x:v>
      </x:c>
      <x:c r="L38" s="58" t="str">
        <x:v>/Users/mike/mimimoney/update36/android</x:v>
      </x:c>
    </x:row>
    <x:row r="39">
      <x:c r="A39" s="42" t="str">
        <x:v>019f93ce-6ded-7c01-a647-71bfacf4292a</x:v>
      </x:c>
      <x:c r="B39" s="33" t="n">
        <x:v>46227.46304398148</x:v>
      </x:c>
      <x:c r="C39" s="33" t="n">
        <x:v>46227.54053240741</x:v>
      </x:c>
      <x:c r="D39" s="36" t="n">
        <x:f>(C39-B39)*1440</x:f>
        <x:v>111.58333333907649</x:v>
      </x:c>
      <x:c r="E39" s="27" t="str">
        <x:f>IF(LEFT(F39,1)="{","Sub-agent","Direct")</x:f>
        <x:v>Sub-agent</x:v>
      </x:c>
      <x:c r="F39" s="27" t="str">
        <x:v>{"subagent":{"other":"guardian"}}</x:v>
      </x:c>
      <x:c r="G39" s="27" t="str">
        <x:v>codex-auto-review</x:v>
      </x:c>
      <x:c r="H39" s="27" t="str">
        <x:v>openai</x:v>
      </x:c>
      <x:c r="I39" s="27" t="str">
        <x:v>low</x:v>
      </x:c>
      <x:c r="J39" s="39" t="n">
        <x:v>1639606</x:v>
      </x:c>
      <x:c r="K39" s="27" t="str">
        <x:v>No</x:v>
      </x:c>
      <x:c r="L39" s="45" t="str">
        <x:v>/Users/mike/mimimoney/update36/android</x:v>
      </x:c>
    </x:row>
    <x:row r="40">
      <x:c r="A40" s="53" t="str">
        <x:v>019f9520-9633-7e42-8a0e-a7f2de7597d4</x:v>
      </x:c>
      <x:c r="B40" s="54" t="n">
        <x:v>46227.71953703704</x:v>
      </x:c>
      <x:c r="C40" s="54" t="n">
        <x:v>46227.75346064815</x:v>
      </x:c>
      <x:c r="D40" s="55" t="n">
        <x:f>(C40-B40)*1440</x:f>
        <x:v>48.84999999892898</x:v>
      </x:c>
      <x:c r="E40" s="56" t="str">
        <x:f>IF(LEFT(F40,1)="{","Sub-agent","Direct")</x:f>
        <x:v>Sub-agent</x:v>
      </x:c>
      <x:c r="F40" s="56" t="str">
        <x:v>{"subagent":{"other":"guardian"}}</x:v>
      </x:c>
      <x:c r="G40" s="56" t="str">
        <x:v>codex-auto-review</x:v>
      </x:c>
      <x:c r="H40" s="56" t="str">
        <x:v>openai</x:v>
      </x:c>
      <x:c r="I40" s="56" t="str">
        <x:v>low</x:v>
      </x:c>
      <x:c r="J40" s="57" t="n">
        <x:v>5898335</x:v>
      </x:c>
      <x:c r="K40" s="56" t="str">
        <x:v>No</x:v>
      </x:c>
      <x:c r="L40" s="58" t="str">
        <x:v>/Users/mike/mimimoney/update36/android</x:v>
      </x:c>
    </x:row>
    <x:row r="41">
      <x:c r="A41" s="42" t="str">
        <x:v>019f9d5c-8777-7a93-ae80-90c34194d8c3</x:v>
      </x:c>
      <x:c r="B41" s="33" t="n">
        <x:v>46229.318449074075</x:v>
      </x:c>
      <x:c r="C41" s="33" t="n">
        <x:v>46229.357256944444</x:v>
      </x:c>
      <x:c r="D41" s="36" t="n">
        <x:f>(C41-B41)*1440</x:f>
        <x:v>55.883333331439644</x:v>
      </x:c>
      <x:c r="E41" s="27" t="str">
        <x:f>IF(LEFT(F41,1)="{","Sub-agent","Direct")</x:f>
        <x:v>Direct</x:v>
      </x:c>
      <x:c r="F41" s="27" t="str">
        <x:v>vscode</x:v>
      </x:c>
      <x:c r="G41" s="27" t="str">
        <x:v>gpt-5.6-sol</x:v>
      </x:c>
      <x:c r="H41" s="27" t="str">
        <x:v>openai</x:v>
      </x:c>
      <x:c r="I41" s="27" t="str">
        <x:v>medium</x:v>
      </x:c>
      <x:c r="J41" s="39" t="n">
        <x:v>21889613</x:v>
      </x:c>
      <x:c r="K41" s="27" t="str">
        <x:v>No</x:v>
      </x:c>
      <x:c r="L41" s="45" t="str">
        <x:v>/Users/mike/mimimoney/update36/android</x:v>
      </x:c>
    </x:row>
    <x:row r="42">
      <x:c r="A42" s="53" t="str">
        <x:v>019f9d5d-e2a4-7181-a36e-8df13b735491</x:v>
      </x:c>
      <x:c r="B42" s="54" t="n">
        <x:v>46229.31947916667</x:v>
      </x:c>
      <x:c r="C42" s="54" t="n">
        <x:v>46229.35680555556</x:v>
      </x:c>
      <x:c r="D42" s="55" t="n">
        <x:f>(C42-B42)*1440</x:f>
        <x:v>53.750000002328306</x:v>
      </x:c>
      <x:c r="E42" s="56" t="str">
        <x:f>IF(LEFT(F42,1)="{","Sub-agent","Direct")</x:f>
        <x:v>Sub-agent</x:v>
      </x:c>
      <x:c r="F42" s="56" t="str">
        <x:v>{"subagent":{"other":"guardian"}}</x:v>
      </x:c>
      <x:c r="G42" s="56" t="str">
        <x:v>codex-auto-review</x:v>
      </x:c>
      <x:c r="H42" s="56" t="str">
        <x:v>openai</x:v>
      </x:c>
      <x:c r="I42" s="56" t="str">
        <x:v>low</x:v>
      </x:c>
      <x:c r="J42" s="57" t="n">
        <x:v>1461148</x:v>
      </x:c>
      <x:c r="K42" s="56" t="str">
        <x:v>No</x:v>
      </x:c>
      <x:c r="L42" s="58" t="str">
        <x:v>/Users/mike/mimimoney/update36/android</x:v>
      </x:c>
    </x:row>
    <x:row r="43">
      <x:c r="A43" s="42" t="str">
        <x:v>019f9de3-95a1-7b63-892e-5c55bc6cab84</x:v>
      </x:c>
      <x:c r="B43" s="33" t="n">
        <x:v>46229.42089120371</x:v>
      </x:c>
      <x:c r="C43" s="33" t="n">
        <x:v>46229.43840277778</x:v>
      </x:c>
      <x:c r="D43" s="36" t="n">
        <x:f>(C43-B43)*1440</x:f>
        <x:v>25.21666666259989</x:v>
      </x:c>
      <x:c r="E43" s="27" t="str">
        <x:f>IF(LEFT(F43,1)="{","Sub-agent","Direct")</x:f>
        <x:v>Direct</x:v>
      </x:c>
      <x:c r="F43" s="27" t="str">
        <x:v>vscode</x:v>
      </x:c>
      <x:c r="G43" s="27" t="str">
        <x:v>gpt-5.6-sol</x:v>
      </x:c>
      <x:c r="H43" s="27" t="str">
        <x:v>openai</x:v>
      </x:c>
      <x:c r="I43" s="27" t="str">
        <x:v>medium</x:v>
      </x:c>
      <x:c r="J43" s="39" t="n">
        <x:v>8556032</x:v>
      </x:c>
      <x:c r="K43" s="27" t="str">
        <x:v>No</x:v>
      </x:c>
      <x:c r="L43" s="45" t="str">
        <x:v>/Users/mike/geto/polygon-edge-1.3.2</x:v>
      </x:c>
    </x:row>
    <x:row r="44">
      <x:c r="A44" s="53" t="str">
        <x:v>019f9df4-071c-7241-860c-04814193a1ca</x:v>
      </x:c>
      <x:c r="B44" s="54" t="n">
        <x:v>46229.43336805556</x:v>
      </x:c>
      <x:c r="C44" s="54" t="n">
        <x:v>46229.43722222222</x:v>
      </x:c>
      <x:c r="D44" s="55" t="n">
        <x:f>(C44-B44)*1440</x:f>
        <x:v>5.549999998183921</x:v>
      </x:c>
      <x:c r="E44" s="56" t="str">
        <x:f>IF(LEFT(F44,1)="{","Sub-agent","Direct")</x:f>
        <x:v>Sub-agent</x:v>
      </x:c>
      <x:c r="F44" s="56" t="str">
        <x:v>{"subagent":{"other":"guardian"}}</x:v>
      </x:c>
      <x:c r="G44" s="56" t="str">
        <x:v>codex-auto-review</x:v>
      </x:c>
      <x:c r="H44" s="56" t="str">
        <x:v>openai</x:v>
      </x:c>
      <x:c r="I44" s="56" t="str">
        <x:v>low</x:v>
      </x:c>
      <x:c r="J44" s="57" t="n">
        <x:v>44272</x:v>
      </x:c>
      <x:c r="K44" s="56" t="str">
        <x:v>No</x:v>
      </x:c>
      <x:c r="L44" s="58" t="str">
        <x:v>/Users/mike/geto/polygon-edge-1.3.2</x:v>
      </x:c>
    </x:row>
    <x:row r="45">
      <x:c r="A45" s="42" t="str">
        <x:v>019f9f2d-5ee9-7dc0-aebb-32dfee6375a0</x:v>
      </x:c>
      <x:c r="B45" s="33" t="n">
        <x:v>46229.67104166667</x:v>
      </x:c>
      <x:c r="C45" s="33" t="n">
        <x:v>46229.69099537037</x:v>
      </x:c>
      <x:c r="D45" s="36" t="n">
        <x:f>(C45-B45)*1440</x:f>
        <x:v>28.733333334093913</x:v>
      </x:c>
      <x:c r="E45" s="27" t="str">
        <x:f>IF(LEFT(F45,1)="{","Sub-agent","Direct")</x:f>
        <x:v>Direct</x:v>
      </x:c>
      <x:c r="F45" s="27" t="str">
        <x:v>vscode</x:v>
      </x:c>
      <x:c r="G45" s="27" t="str">
        <x:v>gpt-5.6-sol</x:v>
      </x:c>
      <x:c r="H45" s="27" t="str">
        <x:v>openai</x:v>
      </x:c>
      <x:c r="I45" s="27" t="str">
        <x:v>medium</x:v>
      </x:c>
      <x:c r="J45" s="39" t="n">
        <x:v>5757630</x:v>
      </x:c>
      <x:c r="K45" s="27" t="str">
        <x:v>No</x:v>
      </x:c>
      <x:c r="L45" s="45" t="str">
        <x:v>/Users/mike/aiagents</x:v>
      </x:c>
    </x:row>
    <x:row r="46">
      <x:c r="A46" s="53" t="str">
        <x:v>019f9f2d-e3ef-73c3-9a62-6c13f8e48c9b</x:v>
      </x:c>
      <x:c r="B46" s="54" t="n">
        <x:v>46229.671435185184</x:v>
      </x:c>
      <x:c r="C46" s="54" t="n">
        <x:v>46229.690775462965</x:v>
      </x:c>
      <x:c r="D46" s="55" t="n">
        <x:f>(C46-B46)*1440</x:f>
        <x:v>27.850000003818423</x:v>
      </x:c>
      <x:c r="E46" s="56" t="str">
        <x:f>IF(LEFT(F46,1)="{","Sub-agent","Direct")</x:f>
        <x:v>Sub-agent</x:v>
      </x:c>
      <x:c r="F46" s="56" t="str">
        <x:v>{"subagent":{"other":"guardian"}}</x:v>
      </x:c>
      <x:c r="G46" s="56" t="str">
        <x:v>codex-auto-review</x:v>
      </x:c>
      <x:c r="H46" s="56" t="str">
        <x:v>openai</x:v>
      </x:c>
      <x:c r="I46" s="56" t="str">
        <x:v>low</x:v>
      </x:c>
      <x:c r="J46" s="57" t="n">
        <x:v>939396</x:v>
      </x:c>
      <x:c r="K46" s="56" t="str">
        <x:v>No</x:v>
      </x:c>
      <x:c r="L46" s="58" t="str">
        <x:v>/Users/mike/aiagents</x:v>
      </x:c>
    </x:row>
    <x:row r="47">
      <x:c r="A47" s="42" t="str">
        <x:v>019f9f45-6f15-7b11-ad9e-4256ca3a6acd</x:v>
      </x:c>
      <x:c r="B47" s="33" t="n">
        <x:v>46229.68929398148</x:v>
      </x:c>
      <x:c r="C47" s="33" t="n">
        <x:v>46229.689618055556</x:v>
      </x:c>
      <x:c r="D47" s="36" t="n">
        <x:f>(C47-B47)*1440</x:f>
        <x:v>0.4666666709817946</x:v>
      </x:c>
      <x:c r="E47" s="27" t="str">
        <x:f>IF(LEFT(F47,1)="{","Sub-agent","Direct")</x:f>
        <x:v>Direct</x:v>
      </x:c>
      <x:c r="F47" s="27" t="str">
        <x:v>exec</x:v>
      </x:c>
      <x:c r="G47" s="27" t="str">
        <x:v>qwen3.6-35b-a3b-ud-mlx</x:v>
      </x:c>
      <x:c r="H47" s="27" t="str">
        <x:v>lmstudio</x:v>
      </x:c>
      <x:c r="I47" s="27" t="str">
        <x:v>medium</x:v>
      </x:c>
      <x:c r="J47" s="39" t="n">
        <x:v>9206</x:v>
      </x:c>
      <x:c r="K47" s="27" t="str">
        <x:v>No</x:v>
      </x:c>
      <x:c r="L47" s="45" t="str">
        <x:v>/Users/mike/aiagents/paperclip/server</x:v>
      </x:c>
    </x:row>
    <x:row r="48">
      <x:c r="A48" s="53" t="str">
        <x:v>019f9f46-af38-72a3-8385-952cc02f4bcb</x:v>
      </x:c>
      <x:c r="B48" s="54" t="n">
        <x:v>46229.69024305556</x:v>
      </x:c>
      <x:c r="C48" s="54" t="n">
        <x:v>46229.6903125</x:v>
      </x:c>
      <x:c r="D48" s="55" t="n">
        <x:f>(C48-B48)*1440</x:f>
        <x:v>0.1000000024214387</x:v>
      </x:c>
      <x:c r="E48" s="56" t="str">
        <x:f>IF(LEFT(F48,1)="{","Sub-agent","Direct")</x:f>
        <x:v>Direct</x:v>
      </x:c>
      <x:c r="F48" s="56" t="str">
        <x:v>exec</x:v>
      </x:c>
      <x:c r="G48" s="56" t="str">
        <x:v>qwen3.6-35b-a3b-ud-mlx</x:v>
      </x:c>
      <x:c r="H48" s="56" t="str">
        <x:v>lmstudio</x:v>
      </x:c>
      <x:c r="I48" s="56" t="str">
        <x:v>medium</x:v>
      </x:c>
      <x:c r="J48" s="57" t="n">
        <x:v>9200</x:v>
      </x:c>
      <x:c r="K48" s="56" t="str">
        <x:v>No</x:v>
      </x:c>
      <x:c r="L48" s="58" t="str">
        <x:v>/Users/mike/aiagents/paperclip/server</x:v>
      </x:c>
    </x:row>
    <x:row r="49">
      <x:c r="A49" s="42" t="str">
        <x:v>019f9f56-5a38-7190-a171-a9713760e5ca</x:v>
      </x:c>
      <x:c r="B49" s="33" t="n">
        <x:v>46229.70212962963</x:v>
      </x:c>
      <x:c r="C49" s="33" t="n">
        <x:v>46229.8059375</x:v>
      </x:c>
      <x:c r="D49" s="36" t="n">
        <x:f>(C49-B49)*1440</x:f>
        <x:v>149.4833333347924</x:v>
      </x:c>
      <x:c r="E49" s="27" t="str">
        <x:f>IF(LEFT(F49,1)="{","Sub-agent","Direct")</x:f>
        <x:v>Direct</x:v>
      </x:c>
      <x:c r="F49" s="27" t="str">
        <x:v>vscode</x:v>
      </x:c>
      <x:c r="G49" s="27" t="str">
        <x:v>gpt-5.6-sol</x:v>
      </x:c>
      <x:c r="H49" s="27" t="str">
        <x:v>openai</x:v>
      </x:c>
      <x:c r="I49" s="27" t="str">
        <x:v>medium</x:v>
      </x:c>
      <x:c r="J49" s="39" t="n">
        <x:v>47724590</x:v>
      </x:c>
      <x:c r="K49" s="27" t="str">
        <x:v>No</x:v>
      </x:c>
      <x:c r="L49" s="45" t="str">
        <x:v>/Users/mike/aiagents</x:v>
      </x:c>
    </x:row>
    <x:row r="50">
      <x:c r="A50" s="53" t="str">
        <x:v>019f9f61-e339-7b83-b72b-e85431f34840</x:v>
      </x:c>
      <x:c r="B50" s="54" t="n">
        <x:v>46229.71087962963</x:v>
      </x:c>
      <x:c r="C50" s="54" t="n">
        <x:v>46229.80525462963</x:v>
      </x:c>
      <x:c r="D50" s="55" t="n">
        <x:f>(C50-B50)*1440</x:f>
        <x:v>135.9000000008382</x:v>
      </x:c>
      <x:c r="E50" s="56" t="str">
        <x:f>IF(LEFT(F50,1)="{","Sub-agent","Direct")</x:f>
        <x:v>Sub-agent</x:v>
      </x:c>
      <x:c r="F50" s="56" t="str">
        <x:v>{"subagent":{"other":"guardian"}}</x:v>
      </x:c>
      <x:c r="G50" s="56" t="str">
        <x:v>codex-auto-review</x:v>
      </x:c>
      <x:c r="H50" s="56" t="str">
        <x:v>openai</x:v>
      </x:c>
      <x:c r="I50" s="56" t="str">
        <x:v>low</x:v>
      </x:c>
      <x:c r="J50" s="57" t="n">
        <x:v>17650307</x:v>
      </x:c>
      <x:c r="K50" s="56" t="str">
        <x:v>No</x:v>
      </x:c>
      <x:c r="L50" s="58" t="str">
        <x:v>/Users/mike/aiagents</x:v>
      </x:c>
    </x:row>
    <x:row r="51">
      <x:c r="A51" s="42" t="str">
        <x:v>019fb2bd-32a7-7792-8f60-bc244f10ba47</x:v>
      </x:c>
      <x:c r="B51" s="33" t="n">
        <x:v>46233.46957175926</x:v>
      </x:c>
      <x:c r="C51" s="33" t="n">
        <x:v>46234.7743287037</x:v>
      </x:c>
      <x:c r="D51" s="36" t="n">
        <x:f>(C51-B51)*1440</x:f>
        <x:v>1878.849999991944</x:v>
      </x:c>
      <x:c r="E51" s="27" t="str">
        <x:f>IF(LEFT(F51,1)="{","Sub-agent","Direct")</x:f>
        <x:v>Direct</x:v>
      </x:c>
      <x:c r="F51" s="27" t="str">
        <x:v>vscode</x:v>
      </x:c>
      <x:c r="G51" s="27" t="str">
        <x:v>gpt-5.6-sol</x:v>
      </x:c>
      <x:c r="H51" s="27" t="str">
        <x:v>openai</x:v>
      </x:c>
      <x:c r="I51" s="27" t="str">
        <x:v>medium</x:v>
      </x:c>
      <x:c r="J51" s="39" t="n">
        <x:v>33155266</x:v>
      </x:c>
      <x:c r="K51" s="27" t="str">
        <x:v>No</x:v>
      </x:c>
      <x:c r="L51" s="45" t="str">
        <x:v>/Users/mike/mimimoney/update36/android</x:v>
      </x:c>
    </x:row>
    <x:row r="52">
      <x:c r="A52" s="53" t="str">
        <x:v>019fb34c-e937-7670-a97c-af4f736b505b</x:v>
      </x:c>
      <x:c r="B52" s="54" t="n">
        <x:v>46233.578576388885</x:v>
      </x:c>
      <x:c r="C52" s="54" t="n">
        <x:v>46233.5946875</x:v>
      </x:c>
      <x:c r="D52" s="55" t="n">
        <x:f>(C52-B52)*1440</x:f>
        <x:v>23.200000006472692</x:v>
      </x:c>
      <x:c r="E52" s="56" t="str">
        <x:f>IF(LEFT(F52,1)="{","Sub-agent","Direct")</x:f>
        <x:v>Sub-agent</x:v>
      </x:c>
      <x:c r="F52" s="56" t="str">
        <x:v>{"subagent":{"other":"guardian"}}</x:v>
      </x:c>
      <x:c r="G52" s="56" t="str">
        <x:v>codex-auto-review</x:v>
      </x:c>
      <x:c r="H52" s="56" t="str">
        <x:v>openai</x:v>
      </x:c>
      <x:c r="I52" s="56" t="str">
        <x:v>low</x:v>
      </x:c>
      <x:c r="J52" s="57" t="n">
        <x:v>307378</x:v>
      </x:c>
      <x:c r="K52" s="56" t="str">
        <x:v>No</x:v>
      </x:c>
      <x:c r="L52" s="58" t="str">
        <x:v>/Users/mike/mimimoney/update36/android</x:v>
      </x:c>
    </x:row>
    <x:row r="53">
      <x:c r="A53" s="42" t="str">
        <x:v>019fb944-5c79-7190-b704-faf570b1c9a5</x:v>
      </x:c>
      <x:c r="B53" s="33" t="n">
        <x:v>46234.737175925926</x:v>
      </x:c>
      <x:c r="C53" s="33" t="n">
        <x:v>46234.773935185185</x:v>
      </x:c>
      <x:c r="D53" s="36" t="n">
        <x:f>(C53-B53)*1440</x:f>
        <x:v>52.933333333348855</x:v>
      </x:c>
      <x:c r="E53" s="27" t="str">
        <x:f>IF(LEFT(F53,1)="{","Sub-agent","Direct")</x:f>
        <x:v>Sub-agent</x:v>
      </x:c>
      <x:c r="F53" s="27" t="str">
        <x:v>{"subagent":{"other":"guardian"}}</x:v>
      </x:c>
      <x:c r="G53" s="27" t="str">
        <x:v>codex-auto-review</x:v>
      </x:c>
      <x:c r="H53" s="27" t="str">
        <x:v>openai</x:v>
      </x:c>
      <x:c r="I53" s="27" t="str">
        <x:v>low</x:v>
      </x:c>
      <x:c r="J53" s="39" t="n">
        <x:v>3984169</x:v>
      </x:c>
      <x:c r="K53" s="27" t="str">
        <x:v>No</x:v>
      </x:c>
      <x:c r="L53" s="45" t="str">
        <x:v>/Users/mike/mimimoney/update36/android</x:v>
      </x:c>
    </x:row>
    <x:row r="54">
      <x:c r="A54" s="53" t="str">
        <x:v>019fc222-eeb1-7862-80f2-3445ae95a325</x:v>
      </x:c>
      <x:c r="B54" s="54" t="n">
        <x:v>46236.45945601852</x:v>
      </x:c>
      <x:c r="C54" s="54" t="n">
        <x:v>46236.50604166667</x:v>
      </x:c>
      <x:c r="D54" s="55" t="n">
        <x:f>(C54-B54)*1440</x:f>
        <x:v>67.08333333022892</x:v>
      </x:c>
      <x:c r="E54" s="56" t="str">
        <x:f>IF(LEFT(F54,1)="{","Sub-agent","Direct")</x:f>
        <x:v>Direct</x:v>
      </x:c>
      <x:c r="F54" s="56" t="str">
        <x:v>vscode</x:v>
      </x:c>
      <x:c r="G54" s="56" t="str">
        <x:v>gpt-5.6-sol</x:v>
      </x:c>
      <x:c r="H54" s="56" t="str">
        <x:v>openai</x:v>
      </x:c>
      <x:c r="I54" s="56" t="str">
        <x:v>medium</x:v>
      </x:c>
      <x:c r="J54" s="57" t="n">
        <x:v>16696469</x:v>
      </x:c>
      <x:c r="K54" s="56" t="str">
        <x:v>No</x:v>
      </x:c>
      <x:c r="L54" s="58" t="str">
        <x:v>/Users/mike/mimimoney/update36/android</x:v>
      </x:c>
    </x:row>
    <x:row r="55">
      <x:c r="A55" s="42" t="str">
        <x:v>019fc224-1b37-7bc3-8a20-2432c2cdc102</x:v>
      </x:c>
      <x:c r="B55" s="33" t="n">
        <x:v>46236.46034722222</x:v>
      </x:c>
      <x:c r="C55" s="33" t="n">
        <x:v>46236.5059837963</x:v>
      </x:c>
      <x:c r="D55" s="36" t="n">
        <x:f>(C55-B55)*1440</x:f>
        <x:v>65.71666666888632</x:v>
      </x:c>
      <x:c r="E55" s="27" t="str">
        <x:f>IF(LEFT(F55,1)="{","Sub-agent","Direct")</x:f>
        <x:v>Sub-agent</x:v>
      </x:c>
      <x:c r="F55" s="27" t="str">
        <x:v>{"subagent":{"other":"guardian"}}</x:v>
      </x:c>
      <x:c r="G55" s="27" t="str">
        <x:v>codex-auto-review</x:v>
      </x:c>
      <x:c r="H55" s="27" t="str">
        <x:v>openai</x:v>
      </x:c>
      <x:c r="I55" s="27" t="str">
        <x:v>low</x:v>
      </x:c>
      <x:c r="J55" s="39" t="n">
        <x:v>1133480</x:v>
      </x:c>
      <x:c r="K55" s="27" t="str">
        <x:v>No</x:v>
      </x:c>
      <x:c r="L55" s="45" t="str">
        <x:v>/Users/mike/mimimoney/update36/android</x:v>
      </x:c>
    </x:row>
    <x:row r="56">
      <x:c r="A56" s="53" t="str">
        <x:v>019fc337-73ab-7551-83dc-bf4e0987c854</x:v>
      </x:c>
      <x:c r="B56" s="54" t="n">
        <x:v>46236.66920138889</x:v>
      </x:c>
      <x:c r="C56" s="54" t="n">
        <x:v>46236.67171296296</x:v>
      </x:c>
      <x:c r="D56" s="55" t="n">
        <x:f>(C56-B56)*1440</x:f>
        <x:v>3.6166666634380817</x:v>
      </x:c>
      <x:c r="E56" s="56" t="str">
        <x:f>IF(LEFT(F56,1)="{","Sub-agent","Direct")</x:f>
        <x:v>Direct</x:v>
      </x:c>
      <x:c r="F56" s="56" t="str">
        <x:v>vscode</x:v>
      </x:c>
      <x:c r="G56" s="56" t="str">
        <x:v>gpt-5.6-sol</x:v>
      </x:c>
      <x:c r="H56" s="56" t="str">
        <x:v>openai</x:v>
      </x:c>
      <x:c r="I56" s="56" t="str">
        <x:v>medium</x:v>
      </x:c>
      <x:c r="J56" s="57" t="n">
        <x:v>193828</x:v>
      </x:c>
      <x:c r="K56" s="56" t="str">
        <x:v>No</x:v>
      </x:c>
      <x:c r="L56" s="58" t="str">
        <x:v>/Users/mike/mimimoney/update36/android</x:v>
      </x:c>
    </x:row>
    <x:row r="57">
      <x:c r="A57" s="42" t="str">
        <x:v>019fc365-0a31-7d53-827e-6f544e1aff76</x:v>
      </x:c>
      <x:c r="B57" s="33" t="n">
        <x:v>46236.70377314815</x:v>
      </x:c>
      <x:c r="C57" s="33" t="n">
        <x:v>46236.76459490741</x:v>
      </x:c>
      <x:c r="D57" s="36" t="n">
        <x:f>(C57-B57)*1440</x:f>
        <x:v>87.58333333418705</x:v>
      </x:c>
      <x:c r="E57" s="27" t="str">
        <x:f>IF(LEFT(F57,1)="{","Sub-agent","Direct")</x:f>
        <x:v>Direct</x:v>
      </x:c>
      <x:c r="F57" s="27" t="str">
        <x:v>vscode</x:v>
      </x:c>
      <x:c r="G57" s="27" t="str">
        <x:v>gpt-5.6-sol</x:v>
      </x:c>
      <x:c r="H57" s="27" t="str">
        <x:v>openai</x:v>
      </x:c>
      <x:c r="I57" s="27" t="str">
        <x:v>medium</x:v>
      </x:c>
      <x:c r="J57" s="39" t="n">
        <x:v>18920485</x:v>
      </x:c>
      <x:c r="K57" s="27" t="str">
        <x:v>No</x:v>
      </x:c>
      <x:c r="L57" s="45" t="str">
        <x:v>/Users/mike/mimimoney/update36/android</x:v>
      </x:c>
    </x:row>
    <x:row r="58">
      <x:c r="A58" s="53" t="str">
        <x:v>019fc367-9f7b-7fa2-b65a-a7bf12559673</x:v>
      </x:c>
      <x:c r="B58" s="54" t="n">
        <x:v>46236.705729166664</x:v>
      </x:c>
      <x:c r="C58" s="54" t="n">
        <x:v>46236.76320601852</x:v>
      </x:c>
      <x:c r="D58" s="55" t="n">
        <x:f>(C58-B58)*1440</x:f>
        <x:v>82.76666667312384</x:v>
      </x:c>
      <x:c r="E58" s="56" t="str">
        <x:f>IF(LEFT(F58,1)="{","Sub-agent","Direct")</x:f>
        <x:v>Sub-agent</x:v>
      </x:c>
      <x:c r="F58" s="56" t="str">
        <x:v>{"subagent":{"other":"guardian"}}</x:v>
      </x:c>
      <x:c r="G58" s="56" t="str">
        <x:v>codex-auto-review</x:v>
      </x:c>
      <x:c r="H58" s="56" t="str">
        <x:v>openai</x:v>
      </x:c>
      <x:c r="I58" s="56" t="str">
        <x:v>low</x:v>
      </x:c>
      <x:c r="J58" s="57" t="n">
        <x:v>531893</x:v>
      </x:c>
      <x:c r="K58" s="56" t="str">
        <x:v>No</x:v>
      </x:c>
      <x:c r="L58" s="58" t="str">
        <x:v>/Users/mike/mimimoney/update36/android</x:v>
      </x:c>
    </x:row>
    <x:row r="59">
      <x:c r="A59" s="42" t="str">
        <x:v>019fc7be-e3f1-7e71-b060-4bd4ab1bbfa1</x:v>
      </x:c>
      <x:c r="B59" s="33" t="n">
        <x:v>46237.54865740741</x:v>
      </x:c>
      <x:c r="C59" s="33" t="n">
        <x:v>46237.56429398148</x:v>
      </x:c>
      <x:c r="D59" s="36" t="n">
        <x:f>(C59-B59)*1440</x:f>
        <x:v>22.51666666008532</x:v>
      </x:c>
      <x:c r="E59" s="27" t="str">
        <x:f>IF(LEFT(F59,1)="{","Sub-agent","Direct")</x:f>
        <x:v>Direct</x:v>
      </x:c>
      <x:c r="F59" s="27" t="str">
        <x:v>vscode</x:v>
      </x:c>
      <x:c r="G59" s="27" t="str">
        <x:v>gpt-5.6-sol</x:v>
      </x:c>
      <x:c r="H59" s="27" t="str">
        <x:v>openai</x:v>
      </x:c>
      <x:c r="I59" s="27" t="str">
        <x:v>medium</x:v>
      </x:c>
      <x:c r="J59" s="39" t="n">
        <x:v>4781138</x:v>
      </x:c>
      <x:c r="K59" s="27" t="str">
        <x:v>No</x:v>
      </x:c>
      <x:c r="L59" s="45" t="str">
        <x:v>/Users/mike/mimimoney/update36/android</x:v>
      </x:c>
    </x:row>
    <x:row r="60">
      <x:c r="A60" s="53" t="str">
        <x:v>019fc7bf-6b30-7ad2-acf7-51d00333f68c</x:v>
      </x:c>
      <x:c r="B60" s="54" t="n">
        <x:v>46237.549050925925</x:v>
      </x:c>
      <x:c r="C60" s="54" t="n">
        <x:v>46237.558333333334</x:v>
      </x:c>
      <x:c r="D60" s="55" t="n">
        <x:f>(C60-B60)*1440</x:f>
        <x:v>13.366666669026017</x:v>
      </x:c>
      <x:c r="E60" s="56" t="str">
        <x:f>IF(LEFT(F60,1)="{","Sub-agent","Direct")</x:f>
        <x:v>Sub-agent</x:v>
      </x:c>
      <x:c r="F60" s="56" t="str">
        <x:v>{"subagent":{"other":"guardian"}}</x:v>
      </x:c>
      <x:c r="G60" s="56" t="str">
        <x:v>codex-auto-review</x:v>
      </x:c>
      <x:c r="H60" s="56" t="str">
        <x:v>openai</x:v>
      </x:c>
      <x:c r="I60" s="56" t="str">
        <x:v>low</x:v>
      </x:c>
      <x:c r="J60" s="57" t="n">
        <x:v>149857</x:v>
      </x:c>
      <x:c r="K60" s="56" t="str">
        <x:v>No</x:v>
      </x:c>
      <x:c r="L60" s="58" t="str">
        <x:v>/Users/mike/mimimoney/update36/android</x:v>
      </x:c>
    </x:row>
    <x:row r="61">
      <x:c r="A61" s="42" t="str">
        <x:v>019fd6f5-9b43-7d83-92ed-f49cf26c28b5</x:v>
      </x:c>
      <x:c r="B61" s="33" t="n">
        <x:v>46240.50287037037</x:v>
      </x:c>
      <x:c r="C61" s="33" t="n">
        <x:v>46240.54460648148</x:v>
      </x:c>
      <x:c r="D61" s="36" t="n">
        <x:f>(C61-B61)*1440</x:f>
        <x:v>60.09999999892898</x:v>
      </x:c>
      <x:c r="E61" s="27" t="str">
        <x:f>IF(LEFT(F61,1)="{","Sub-agent","Direct")</x:f>
        <x:v>Direct</x:v>
      </x:c>
      <x:c r="F61" s="27" t="str">
        <x:v>vscode</x:v>
      </x:c>
      <x:c r="G61" s="27" t="str">
        <x:v>gpt-5.6-sol</x:v>
      </x:c>
      <x:c r="H61" s="27" t="str">
        <x:v>openai</x:v>
      </x:c>
      <x:c r="I61" s="27" t="str">
        <x:v>medium</x:v>
      </x:c>
      <x:c r="J61" s="39" t="n">
        <x:v>16750517</x:v>
      </x:c>
      <x:c r="K61" s="27" t="str">
        <x:v>No</x:v>
      </x:c>
      <x:c r="L61" s="45" t="str">
        <x:v>/Users/mike/mimimoney/update36/android</x:v>
      </x:c>
    </x:row>
    <x:row r="62">
      <x:c r="A62" s="53" t="str">
        <x:v>019fd71e-8f13-73e1-bb8d-f0cc2bb07594</x:v>
      </x:c>
      <x:c r="B62" s="54" t="n">
        <x:v>46240.53392361111</x:v>
      </x:c>
      <x:c r="C62" s="54" t="n">
        <x:v>46240.544120370374</x:v>
      </x:c>
      <x:c r="D62" s="55" t="n">
        <x:f>(C62-B62)*1440</x:f>
        <x:v>14.683333339635283</x:v>
      </x:c>
      <x:c r="E62" s="56" t="str">
        <x:f>IF(LEFT(F62,1)="{","Sub-agent","Direct")</x:f>
        <x:v>Sub-agent</x:v>
      </x:c>
      <x:c r="F62" s="56" t="str">
        <x:v>{"subagent":{"other":"guardian"}}</x:v>
      </x:c>
      <x:c r="G62" s="56" t="str">
        <x:v>codex-auto-review</x:v>
      </x:c>
      <x:c r="H62" s="56" t="str">
        <x:v>openai</x:v>
      </x:c>
      <x:c r="I62" s="56" t="str">
        <x:v>low</x:v>
      </x:c>
      <x:c r="J62" s="57" t="n">
        <x:v>96961</x:v>
      </x:c>
      <x:c r="K62" s="56" t="str">
        <x:v>No</x:v>
      </x:c>
      <x:c r="L62" s="58" t="str">
        <x:v>/Users/mike/mimimoney/update36/android</x:v>
      </x:c>
    </x:row>
    <x:row r="63">
      <x:c r="A63" s="42" t="str">
        <x:v>019fe65d-420b-7553-9bda-f3a8540effb2</x:v>
      </x:c>
      <x:c r="B63" s="33" t="n">
        <x:v>46243.49420138889</x:v>
      </x:c>
      <x:c r="C63" s="33" t="n">
        <x:v>46243.53665509259</x:v>
      </x:c>
      <x:c r="D63" s="36" t="n">
        <x:f>(C63-B63)*1440</x:f>
        <x:v>61.13333333283663</x:v>
      </x:c>
      <x:c r="E63" s="27" t="str">
        <x:f>IF(LEFT(F63,1)="{","Sub-agent","Direct")</x:f>
        <x:v>Direct</x:v>
      </x:c>
      <x:c r="F63" s="27" t="str">
        <x:v>vscode</x:v>
      </x:c>
      <x:c r="G63" s="27" t="str">
        <x:v>gpt-5.6-sol</x:v>
      </x:c>
      <x:c r="H63" s="27" t="str">
        <x:v>openai</x:v>
      </x:c>
      <x:c r="I63" s="27" t="str">
        <x:v>low</x:v>
      </x:c>
      <x:c r="J63" s="39" t="n">
        <x:v>12842826</x:v>
      </x:c>
      <x:c r="K63" s="27" t="str">
        <x:v>No</x:v>
      </x:c>
      <x:c r="L63" s="45" t="str">
        <x:v>/Users/mike/mimimoney/update36/android</x:v>
      </x:c>
    </x:row>
    <x:row r="64">
      <x:c r="A64" s="53" t="str">
        <x:v>019fe666-9c91-70a3-8552-2fe8787907c5</x:v>
      </x:c>
      <x:c r="B64" s="54" t="n">
        <x:v>46243.501296296294</x:v>
      </x:c>
      <x:c r="C64" s="54" t="n">
        <x:v>46243.533796296295</x:v>
      </x:c>
      <x:c r="D64" s="55" t="n">
        <x:f>(C64-B64)*1440</x:f>
        <x:v>46.80000000167638</x:v>
      </x:c>
      <x:c r="E64" s="56" t="str">
        <x:f>IF(LEFT(F64,1)="{","Sub-agent","Direct")</x:f>
        <x:v>Sub-agent</x:v>
      </x:c>
      <x:c r="F64" s="56" t="str">
        <x:v>{"subagent":{"other":"guardian"}}</x:v>
      </x:c>
      <x:c r="G64" s="56" t="str">
        <x:v>codex-auto-review</x:v>
      </x:c>
      <x:c r="H64" s="56" t="str">
        <x:v>openai</x:v>
      </x:c>
      <x:c r="I64" s="56" t="str">
        <x:v>low</x:v>
      </x:c>
      <x:c r="J64" s="57" t="n">
        <x:v>336457</x:v>
      </x:c>
      <x:c r="K64" s="56" t="str">
        <x:v>No</x:v>
      </x:c>
      <x:c r="L64" s="58" t="str">
        <x:v>/Users/mike/mimimoney/update36/android</x:v>
      </x:c>
    </x:row>
    <x:row r="65">
      <x:c r="A65" s="42" t="str">
        <x:v>019fe77f-0819-7232-9df0-0a400683c341</x:v>
      </x:c>
      <x:c r="B65" s="33" t="n">
        <x:v>46243.71399305556</x:v>
      </x:c>
      <x:c r="C65" s="33" t="n">
        <x:v>46243.74346064815</x:v>
      </x:c>
      <x:c r="D65" s="36" t="n">
        <x:f>(C65-B65)*1440</x:f>
        <x:v>42.43333333055489</x:v>
      </x:c>
      <x:c r="E65" s="27" t="str">
        <x:f>IF(LEFT(F65,1)="{","Sub-agent","Direct")</x:f>
        <x:v>Direct</x:v>
      </x:c>
      <x:c r="F65" s="27" t="str">
        <x:v>vscode</x:v>
      </x:c>
      <x:c r="G65" s="27" t="str">
        <x:v>gpt-5.6-sol</x:v>
      </x:c>
      <x:c r="H65" s="27" t="str">
        <x:v>openai</x:v>
      </x:c>
      <x:c r="I65" s="27" t="str">
        <x:v>low</x:v>
      </x:c>
      <x:c r="J65" s="39" t="n">
        <x:v>9758677</x:v>
      </x:c>
      <x:c r="K65" s="27" t="str">
        <x:v>No</x:v>
      </x:c>
      <x:c r="L65" s="45" t="str">
        <x:v>/Users/mike/aiagents/paperclip</x:v>
      </x:c>
    </x:row>
    <x:row r="66">
      <x:c r="A66" s="53" t="str">
        <x:v>019fe77f-94ec-7100-9453-bf5f440b62bb</x:v>
      </x:c>
      <x:c r="B66" s="54" t="n">
        <x:v>46243.71440972222</x:v>
      </x:c>
      <x:c r="C66" s="54" t="n">
        <x:v>46243.74332175926</x:v>
      </x:c>
      <x:c r="D66" s="55" t="n">
        <x:f>(C66-B66)*1440</x:f>
        <x:v>41.633333342615515</x:v>
      </x:c>
      <x:c r="E66" s="56" t="str">
        <x:f>IF(LEFT(F66,1)="{","Sub-agent","Direct")</x:f>
        <x:v>Sub-agent</x:v>
      </x:c>
      <x:c r="F66" s="56" t="str">
        <x:v>{"subagent":{"other":"guardian"}}</x:v>
      </x:c>
      <x:c r="G66" s="56" t="str">
        <x:v>codex-auto-review</x:v>
      </x:c>
      <x:c r="H66" s="56" t="str">
        <x:v>openai</x:v>
      </x:c>
      <x:c r="I66" s="56" t="str">
        <x:v>low</x:v>
      </x:c>
      <x:c r="J66" s="57" t="n">
        <x:v>2527158</x:v>
      </x:c>
      <x:c r="K66" s="56" t="str">
        <x:v>No</x:v>
      </x:c>
      <x:c r="L66" s="58" t="str">
        <x:v>/Users/mike/aiagents/paperclip</x:v>
      </x:c>
    </x:row>
    <x:row r="67">
      <x:c r="A67" s="42" t="str">
        <x:v>019febab-5711-7761-ab5e-93c0d40d6dd2</x:v>
      </x:c>
      <x:c r="B67" s="33" t="n">
        <x:v>46244.5243287037</x:v>
      </x:c>
      <x:c r="C67" s="33" t="n">
        <x:v>46244.54005787037</x:v>
      </x:c>
      <x:c r="D67" s="36" t="n">
        <x:f>(C67-B67)*1440</x:f>
        <x:v>22.650000003632158</x:v>
      </x:c>
      <x:c r="E67" s="27" t="str">
        <x:f>IF(LEFT(F67,1)="{","Sub-agent","Direct")</x:f>
        <x:v>Direct</x:v>
      </x:c>
      <x:c r="F67" s="27" t="str">
        <x:v>vscode</x:v>
      </x:c>
      <x:c r="G67" s="27" t="str">
        <x:v>gpt-5.6-sol</x:v>
      </x:c>
      <x:c r="H67" s="27" t="str">
        <x:v>openai</x:v>
      </x:c>
      <x:c r="I67" s="27" t="str">
        <x:v>low</x:v>
      </x:c>
      <x:c r="J67" s="39" t="n">
        <x:v>348304</x:v>
      </x:c>
      <x:c r="K67" s="27" t="str">
        <x:v>No</x:v>
      </x:c>
      <x:c r="L67" s="45" t="str">
        <x:v>/Users/mike/Desktop/Hackathons/Google Build With Gemini Xprize/proof</x:v>
      </x:c>
    </x:row>
    <x:row r="68">
      <x:c r="A68" s="53" t="str">
        <x:v>019fec03-3594-7bf0-ba4e-9dc493409747</x:v>
      </x:c>
      <x:c r="B68" s="54" t="n">
        <x:v>46244.5909837963</x:v>
      </x:c>
      <x:c r="C68" s="54" t="n">
        <x:v>46244.595509259256</x:v>
      </x:c>
      <x:c r="D68" s="55" t="n">
        <x:f>(C68-B68)*1440</x:f>
        <x:v>6.516666660318151</x:v>
      </x:c>
      <x:c r="E68" s="56" t="str">
        <x:f>IF(LEFT(F68,1)="{","Sub-agent","Direct")</x:f>
        <x:v>Direct</x:v>
      </x:c>
      <x:c r="F68" s="56" t="str">
        <x:v>vscode</x:v>
      </x:c>
      <x:c r="G68" s="56" t="str">
        <x:v>gpt-5.6-sol</x:v>
      </x:c>
      <x:c r="H68" s="56" t="str">
        <x:v>openai</x:v>
      </x:c>
      <x:c r="I68" s="56" t="str">
        <x:v>medium</x:v>
      </x:c>
      <x:c r="J68" s="57" t="n">
        <x:v>32154</x:v>
      </x:c>
      <x:c r="K68" s="56" t="str">
        <x:v>No</x:v>
      </x:c>
      <x:c r="L68" s="58" t="str">
        <x:v>/Users/mike/mimimoney/update36/android</x:v>
      </x:c>
    </x:row>
    <x:row r="69">
      <x:c r="A69" s="42" t="str">
        <x:v>019fec1f-ae5d-7c11-841c-c65de76cd6a8</x:v>
      </x:c>
      <x:c r="B69" s="33" t="n">
        <x:v>46244.61258101852</x:v>
      </x:c>
      <x:c r="C69" s="33" t="n">
        <x:v>46244.636712962965</x:v>
      </x:c>
      <x:c r="D69" s="36" t="n">
        <x:f>(C69-B69)*1440</x:f>
        <x:v>34.75000000325963</x:v>
      </x:c>
      <x:c r="E69" s="27" t="str">
        <x:f>IF(LEFT(F69,1)="{","Sub-agent","Direct")</x:f>
        <x:v>Direct</x:v>
      </x:c>
      <x:c r="F69" s="27" t="str">
        <x:v>vscode</x:v>
      </x:c>
      <x:c r="G69" s="27" t="str">
        <x:v>gpt-5.6-sol</x:v>
      </x:c>
      <x:c r="H69" s="27" t="str">
        <x:v>openai</x:v>
      </x:c>
      <x:c r="I69" s="27" t="str">
        <x:v>medium</x:v>
      </x:c>
      <x:c r="J69" s="39" t="n">
        <x:v>2015869</x:v>
      </x:c>
      <x:c r="K69" s="27" t="str">
        <x:v>No</x:v>
      </x:c>
      <x:c r="L69" s="45" t="str">
        <x:v>/Users/mike/Desktop/Hackathons/Google Build With Gemini Xprize/proof</x:v>
      </x:c>
    </x:row>
    <x:row r="70">
      <x:c r="A70" s="53" t="str">
        <x:v>019fec41-2957-7c43-97b4-d21878bb643f</x:v>
      </x:c>
      <x:c r="B70" s="54" t="n">
        <x:v>46244.637974537036</x:v>
      </x:c>
      <x:c r="C70" s="54" t="n">
        <x:v>46244.647141203706</x:v>
      </x:c>
      <x:c r="D70" s="55" t="n">
        <x:f>(C70-B70)*1440</x:f>
        <x:v>13.200000005308539</x:v>
      </x:c>
      <x:c r="E70" s="56" t="str">
        <x:f>IF(LEFT(F70,1)="{","Sub-agent","Direct")</x:f>
        <x:v>Direct</x:v>
      </x:c>
      <x:c r="F70" s="56" t="str">
        <x:v>vscode</x:v>
      </x:c>
      <x:c r="G70" s="56" t="str">
        <x:v>gpt-5.6-sol</x:v>
      </x:c>
      <x:c r="H70" s="56" t="str">
        <x:v>openai</x:v>
      </x:c>
      <x:c r="I70" s="56" t="str">
        <x:v>medium</x:v>
      </x:c>
      <x:c r="J70" s="57" t="n">
        <x:v>1167059</x:v>
      </x:c>
      <x:c r="K70" s="56" t="str">
        <x:v>No</x:v>
      </x:c>
      <x:c r="L70" s="58" t="str">
        <x:v>/Users/mike/aiagents/paperclip</x:v>
      </x:c>
    </x:row>
    <x:row r="71">
      <x:c r="A71" s="42" t="str">
        <x:v>019fec4a-dab3-76c1-a6f6-6292c86b873f</x:v>
      </x:c>
      <x:c r="B71" s="33" t="n">
        <x:v>46244.645324074074</x:v>
      </x:c>
      <x:c r="C71" s="33" t="n">
        <x:v>46244.64587962963</x:v>
      </x:c>
      <x:c r="D71" s="36" t="n">
        <x:f>(C71-B71)*1440</x:f>
        <x:v>0.7999999984167516</x:v>
      </x:c>
      <x:c r="E71" s="27" t="str">
        <x:f>IF(LEFT(F71,1)="{","Sub-agent","Direct")</x:f>
        <x:v>Sub-agent</x:v>
      </x:c>
      <x:c r="F71" s="27" t="str">
        <x:v>{"subagent":{"other":"guardian"}}</x:v>
      </x:c>
      <x:c r="G71" s="27" t="str">
        <x:v>codex-auto-review</x:v>
      </x:c>
      <x:c r="H71" s="27" t="str">
        <x:v>openai</x:v>
      </x:c>
      <x:c r="I71" s="27" t="str">
        <x:v>low</x:v>
      </x:c>
      <x:c r="J71" s="39" t="n">
        <x:v>60365</x:v>
      </x:c>
      <x:c r="K71" s="27" t="str">
        <x:v>No</x:v>
      </x:c>
      <x:c r="L71" s="45" t="str">
        <x:v>/Users/mike/aiagents/paperclip</x:v>
      </x:c>
    </x:row>
    <x:row r="72">
      <x:c r="A72" s="53" t="str">
        <x:v>019fec6a-4665-7f72-9f0e-f2663ef1e860</x:v>
      </x:c>
      <x:c r="B72" s="54" t="n">
        <x:v>46244.66915509259</x:v>
      </x:c>
      <x:c r="C72" s="54" t="n">
        <x:v>46244.68346064815</x:v>
      </x:c>
      <x:c r="D72" s="55" t="n">
        <x:f>(C72-B72)*1440</x:f>
        <x:v>20.60000000637956</x:v>
      </x:c>
      <x:c r="E72" s="56" t="str">
        <x:f>IF(LEFT(F72,1)="{","Sub-agent","Direct")</x:f>
        <x:v>Direct</x:v>
      </x:c>
      <x:c r="F72" s="56" t="str">
        <x:v>vscode</x:v>
      </x:c>
      <x:c r="G72" s="56" t="str">
        <x:v>gpt-5.6-sol</x:v>
      </x:c>
      <x:c r="H72" s="56" t="str">
        <x:v>openai</x:v>
      </x:c>
      <x:c r="I72" s="56" t="str">
        <x:v>medium</x:v>
      </x:c>
      <x:c r="J72" s="57" t="n">
        <x:v>836522</x:v>
      </x:c>
      <x:c r="K72" s="56" t="str">
        <x:v>No</x:v>
      </x:c>
      <x:c r="L72" s="58" t="str">
        <x:v>/Users/mike/Desktop/Hackathons/Google Build With Gemini Xprize/proof</x:v>
      </x:c>
    </x:row>
    <x:row r="73">
      <x:c r="A73" s="42" t="str">
        <x:v>019fec6c-fa93-7360-87d9-bf0868ca03db</x:v>
      </x:c>
      <x:c r="B73" s="33" t="n">
        <x:v>46244.67120370371</x:v>
      </x:c>
      <x:c r="C73" s="33" t="n">
        <x:v>46244.68325231481</x:v>
      </x:c>
      <x:c r="D73" s="36" t="n">
        <x:f>(C73-B73)*1440</x:f>
        <x:v>17.349999990547076</x:v>
      </x:c>
      <x:c r="E73" s="27" t="str">
        <x:f>IF(LEFT(F73,1)="{","Sub-agent","Direct")</x:f>
        <x:v>Sub-agent</x:v>
      </x:c>
      <x:c r="F73" s="27" t="str">
        <x:v>{"subagent":{"other":"guardian"}}</x:v>
      </x:c>
      <x:c r="G73" s="27" t="str">
        <x:v>codex-auto-review</x:v>
      </x:c>
      <x:c r="H73" s="27" t="str">
        <x:v>openai</x:v>
      </x:c>
      <x:c r="I73" s="27" t="str">
        <x:v>low</x:v>
      </x:c>
      <x:c r="J73" s="39" t="n">
        <x:v>25967</x:v>
      </x:c>
      <x:c r="K73" s="27" t="str">
        <x:v>No</x:v>
      </x:c>
      <x:c r="L73" s="45" t="str">
        <x:v>/Users/mike/Desktop/Hackathons/Google Build With Gemini Xprize/proof</x:v>
      </x:c>
    </x:row>
    <x:row r="74">
      <x:c r="A74" s="53" t="str">
        <x:v>019fec80-bad3-7620-8184-7695f52a45fc</x:v>
      </x:c>
      <x:c r="B74" s="54" t="n">
        <x:v>46244.68619212963</x:v>
      </x:c>
      <x:c r="C74" s="54" t="n">
        <x:v>46244.68666666667</x:v>
      </x:c>
      <x:c r="D74" s="55" t="n">
        <x:f>(C74-B74)*1440</x:f>
        <x:v>0.6833333359099925</x:v>
      </x:c>
      <x:c r="E74" s="56" t="str">
        <x:f>IF(LEFT(F74,1)="{","Sub-agent","Direct")</x:f>
        <x:v>Direct</x:v>
      </x:c>
      <x:c r="F74" s="56" t="str">
        <x:v>vscode</x:v>
      </x:c>
      <x:c r="G74" s="56" t="str">
        <x:v>gpt-5.6-sol</x:v>
      </x:c>
      <x:c r="H74" s="56" t="str">
        <x:v>openai</x:v>
      </x:c>
      <x:c r="I74" s="56" t="str">
        <x:v>medium</x:v>
      </x:c>
      <x:c r="J74" s="57" t="n">
        <x:v>17181</x:v>
      </x:c>
      <x:c r="K74" s="56" t="str">
        <x:v>No</x:v>
      </x:c>
      <x:c r="L74" s="58" t="str">
        <x:v>/Users/mike/mimimoney/update36/android</x:v>
      </x:c>
    </x:row>
    <x:row r="75">
      <x:c r="A75" s="42" t="str">
        <x:v>019fec92-e349-7192-87cf-620201b2c31e</x:v>
      </x:c>
      <x:c r="B75" s="33" t="n">
        <x:v>46244.69996527778</x:v>
      </x:c>
      <x:c r="C75" s="33" t="n">
        <x:v>46244.719560185185</x:v>
      </x:c>
      <x:c r="D75" s="36" t="n">
        <x:f>(C75-B75)*1440</x:f>
        <x:v>28.2166666619014</x:v>
      </x:c>
      <x:c r="E75" s="27" t="str">
        <x:f>IF(LEFT(F75,1)="{","Sub-agent","Direct")</x:f>
        <x:v>Direct</x:v>
      </x:c>
      <x:c r="F75" s="27" t="str">
        <x:v>vscode</x:v>
      </x:c>
      <x:c r="G75" s="27" t="str">
        <x:v>gpt-5.6-sol</x:v>
      </x:c>
      <x:c r="H75" s="27" t="str">
        <x:v>openai</x:v>
      </x:c>
      <x:c r="I75" s="27" t="str">
        <x:v>medium</x:v>
      </x:c>
      <x:c r="J75" s="39" t="n">
        <x:v>18621614</x:v>
      </x:c>
      <x:c r="K75" s="27" t="str">
        <x:v>No</x:v>
      </x:c>
      <x:c r="L75" s="45" t="str">
        <x:v>/Users/mike/aiagents/paperclip</x:v>
      </x:c>
    </x:row>
    <x:row r="76">
      <x:c r="A76" s="53" t="str">
        <x:v>019fec95-334f-7e23-b149-ad087ee777c6</x:v>
      </x:c>
      <x:c r="B76" s="54" t="n">
        <x:v>46244.70171296296</x:v>
      </x:c>
      <x:c r="C76" s="54" t="n">
        <x:v>46244.71842592592</x:v>
      </x:c>
      <x:c r="D76" s="55" t="n">
        <x:f>(C76-B76)*1440</x:f>
        <x:v>24.066666666185483</x:v>
      </x:c>
      <x:c r="E76" s="56" t="str">
        <x:f>IF(LEFT(F76,1)="{","Sub-agent","Direct")</x:f>
        <x:v>Sub-agent</x:v>
      </x:c>
      <x:c r="F76" s="56" t="str">
        <x:v>{"subagent":{"other":"guardian"}}</x:v>
      </x:c>
      <x:c r="G76" s="56" t="str">
        <x:v>codex-auto-review</x:v>
      </x:c>
      <x:c r="H76" s="56" t="str">
        <x:v>openai</x:v>
      </x:c>
      <x:c r="I76" s="56" t="str">
        <x:v>low</x:v>
      </x:c>
      <x:c r="J76" s="57" t="n">
        <x:v>1363487</x:v>
      </x:c>
      <x:c r="K76" s="56" t="str">
        <x:v>No</x:v>
      </x:c>
      <x:c r="L76" s="58" t="str">
        <x:v>/Users/mike/aiagents/paperclip</x:v>
      </x:c>
    </x:row>
    <x:row r="77">
      <x:c r="A77" s="42" t="str">
        <x:v>019ff4e7-a972-7310-97cd-7d15712b09a6</x:v>
      </x:c>
      <x:c r="B77" s="33" t="n">
        <x:v>46246.317708333336</x:v>
      </x:c>
      <x:c r="C77" s="33" t="n">
        <x:v>46246.35586805556</x:v>
      </x:c>
      <x:c r="D77" s="36" t="n">
        <x:f>(C77-B77)*1440</x:f>
        <x:v>54.949999999953434</x:v>
      </x:c>
      <x:c r="E77" s="27" t="str">
        <x:f>IF(LEFT(F77,1)="{","Sub-agent","Direct")</x:f>
        <x:v>Direct</x:v>
      </x:c>
      <x:c r="F77" s="27" t="str">
        <x:v>vscode</x:v>
      </x:c>
      <x:c r="G77" s="27" t="str">
        <x:v>gpt-5.6-sol</x:v>
      </x:c>
      <x:c r="H77" s="27" t="str">
        <x:v>openai</x:v>
      </x:c>
      <x:c r="I77" s="27" t="str">
        <x:v>medium</x:v>
      </x:c>
      <x:c r="J77" s="39" t="n">
        <x:v>1897840</x:v>
      </x:c>
      <x:c r="K77" s="27" t="str">
        <x:v>No</x:v>
      </x:c>
      <x:c r="L77" s="45" t="str">
        <x:v>/Users/mike/mimimoney/images/store screenshots/Submission White/update high resolution</x:v>
      </x:c>
    </x:row>
    <x:row r="78">
      <x:c r="A78" s="53" t="str">
        <x:v>019ff5ee-12d5-7ab0-8731-a8d97fff998c</x:v>
      </x:c>
      <x:c r="B78" s="54" t="n">
        <x:v>46246.51675925926</x:v>
      </x:c>
      <x:c r="C78" s="54" t="n">
        <x:v>46246.570439814815</x:v>
      </x:c>
      <x:c r="D78" s="55" t="n">
        <x:f>(C78-B78)*1440</x:f>
        <x:v>77.29999999632128</x:v>
      </x:c>
      <x:c r="E78" s="56" t="str">
        <x:f>IF(LEFT(F78,1)="{","Sub-agent","Direct")</x:f>
        <x:v>Direct</x:v>
      </x:c>
      <x:c r="F78" s="56" t="str">
        <x:v>vscode</x:v>
      </x:c>
      <x:c r="G78" s="56" t="str">
        <x:v>gpt-5.6-sol</x:v>
      </x:c>
      <x:c r="H78" s="56" t="str">
        <x:v>openai</x:v>
      </x:c>
      <x:c r="I78" s="56" t="str">
        <x:v>medium</x:v>
      </x:c>
      <x:c r="J78" s="57" t="n">
        <x:v>3817791</x:v>
      </x:c>
      <x:c r="K78" s="56" t="str">
        <x:v>No</x:v>
      </x:c>
      <x:c r="L78" s="58" t="str">
        <x:v>/Users/mike/mimimoney/images/store screenshots/Submission White/update high resolution</x:v>
      </x:c>
    </x:row>
    <x:row r="79">
      <x:c r="A79" s="42" t="str">
        <x:v>019ffa90-0ea8-7b83-b00b-f0aa19ff5efa</x:v>
      </x:c>
      <x:c r="B79" s="33" t="n">
        <x:v>46247.416342592594</x:v>
      </x:c>
      <x:c r="C79" s="33" t="n">
        <x:v>46247.479837962965</x:v>
      </x:c>
      <x:c r="D79" s="36" t="n">
        <x:f>(C79-B79)*1440</x:f>
        <x:v>91.43333333311602</x:v>
      </x:c>
      <x:c r="E79" s="27" t="str">
        <x:f>IF(LEFT(F79,1)="{","Sub-agent","Direct")</x:f>
        <x:v>Direct</x:v>
      </x:c>
      <x:c r="F79" s="27" t="str">
        <x:v>vscode</x:v>
      </x:c>
      <x:c r="G79" s="27" t="str">
        <x:v>gpt-5.6-sol</x:v>
      </x:c>
      <x:c r="H79" s="27" t="str">
        <x:v>openai</x:v>
      </x:c>
      <x:c r="I79" s="27" t="str">
        <x:v>medium</x:v>
      </x:c>
      <x:c r="J79" s="39" t="n">
        <x:v>19779273</x:v>
      </x:c>
      <x:c r="K79" s="27" t="str">
        <x:v>No</x:v>
      </x:c>
      <x:c r="L79" s="45" t="str">
        <x:v>/Users/mike/mimimoney/update36/android</x:v>
      </x:c>
    </x:row>
    <x:row r="80">
      <x:c r="A80" s="53" t="str">
        <x:v>019ffabd-4051-7ae3-bbb3-b528ad26b553</x:v>
      </x:c>
      <x:c r="B80" s="54" t="n">
        <x:v>46247.450625</x:v>
      </x:c>
      <x:c r="C80" s="54" t="n">
        <x:v>46247.47935185185</x:v>
      </x:c>
      <x:c r="D80" s="55" t="n">
        <x:f>(C80-B80)*1440</x:f>
        <x:v>41.36666666599922</x:v>
      </x:c>
      <x:c r="E80" s="56" t="str">
        <x:f>IF(LEFT(F80,1)="{","Sub-agent","Direct")</x:f>
        <x:v>Sub-agent</x:v>
      </x:c>
      <x:c r="F80" s="56" t="str">
        <x:v>{"subagent":{"other":"guardian"}}</x:v>
      </x:c>
      <x:c r="G80" s="56" t="str">
        <x:v>codex-auto-review</x:v>
      </x:c>
      <x:c r="H80" s="56" t="str">
        <x:v>openai</x:v>
      </x:c>
      <x:c r="I80" s="56" t="str">
        <x:v>low</x:v>
      </x:c>
      <x:c r="J80" s="57" t="n">
        <x:v>1173856</x:v>
      </x:c>
      <x:c r="K80" s="56" t="str">
        <x:v>No</x:v>
      </x:c>
      <x:c r="L80" s="58" t="str">
        <x:v>/Users/mike/mimimoney/update36/android</x:v>
      </x:c>
    </x:row>
    <x:row r="81">
      <x:c r="A81" s="42" t="str">
        <x:v>019ffbbd-9ba7-7ed3-ae27-3d32f42a5d47</x:v>
      </x:c>
      <x:c r="B81" s="33" t="n">
        <x:v>46247.64508101852</x:v>
      </x:c>
      <x:c r="C81" s="33" t="n">
        <x:v>46247.6459837963</x:v>
      </x:c>
      <x:c r="D81" s="36" t="n">
        <x:f>(C81-B81)*1440</x:f>
        <x:v>1.3000000000465661</x:v>
      </x:c>
      <x:c r="E81" s="27" t="str">
        <x:f>IF(LEFT(F81,1)="{","Sub-agent","Direct")</x:f>
        <x:v>Direct</x:v>
      </x:c>
      <x:c r="F81" s="27" t="str">
        <x:v>vscode</x:v>
      </x:c>
      <x:c r="G81" s="27" t="str">
        <x:v>gpt-5.6-sol</x:v>
      </x:c>
      <x:c r="H81" s="27" t="str">
        <x:v>openai</x:v>
      </x:c>
      <x:c r="I81" s="27" t="str">
        <x:v>medium</x:v>
      </x:c>
      <x:c r="J81" s="39" t="n">
        <x:v>18994</x:v>
      </x:c>
      <x:c r="K81" s="27" t="str">
        <x:v>No</x:v>
      </x:c>
      <x:c r="L81" s="45" t="str">
        <x:v>/Users/mike/aiagents/paperclip</x:v>
      </x:c>
    </x:row>
    <x:row r="82">
      <x:c r="A82" s="53" t="str">
        <x:v>019ffef9-e6a9-70c3-b4a7-8b8a8f5b38d7</x:v>
      </x:c>
      <x:c r="B82" s="54" t="n">
        <x:v>46248.273356481484</x:v>
      </x:c>
      <x:c r="C82" s="54" t="n">
        <x:v>46248.27644675926</x:v>
      </x:c>
      <x:c r="D82" s="55" t="n">
        <x:f>(C82-B82)*1440</x:f>
        <x:v>4.449999992502853</x:v>
      </x:c>
      <x:c r="E82" s="56" t="str">
        <x:f>IF(LEFT(F82,1)="{","Sub-agent","Direct")</x:f>
        <x:v>Direct</x:v>
      </x:c>
      <x:c r="F82" s="56" t="str">
        <x:v>vscode</x:v>
      </x:c>
      <x:c r="G82" s="56" t="str">
        <x:v>gpt-5.6-sol</x:v>
      </x:c>
      <x:c r="H82" s="56" t="str">
        <x:v>openai</x:v>
      </x:c>
      <x:c r="I82" s="56" t="str">
        <x:v>medium</x:v>
      </x:c>
      <x:c r="J82" s="57" t="n">
        <x:v>468108</x:v>
      </x:c>
      <x:c r="K82" s="56" t="str">
        <x:v>Yes</x:v>
      </x:c>
      <x:c r="L82" s="58" t="str">
        <x:v>/Users/mike/Desktop/Hackathons/Google Build With Gemini Xprize/Uploads/Airtel Mobile money</x:v>
      </x:c>
    </x:row>
    <x:row r="83">
      <x:c r="A83" s="42" t="str">
        <x:v>01a0056c-1fa8-73e2-8990-99cf5de08599</x:v>
      </x:c>
      <x:c r="B83" s="33" t="n">
        <x:v>46249.52508101852</x:v>
      </x:c>
      <x:c r="C83" s="33" t="n">
        <x:v>46249.57545138889</x:v>
      </x:c>
      <x:c r="D83" s="36" t="n">
        <x:f>(C83-B83)*1440</x:f>
        <x:v>72.53333333646879</x:v>
      </x:c>
      <x:c r="E83" s="27" t="str">
        <x:f>IF(LEFT(F83,1)="{","Sub-agent","Direct")</x:f>
        <x:v>Direct</x:v>
      </x:c>
      <x:c r="F83" s="27" t="str">
        <x:v>vscode</x:v>
      </x:c>
      <x:c r="G83" s="27" t="str">
        <x:v>gpt-5.6-sol</x:v>
      </x:c>
      <x:c r="H83" s="27" t="str">
        <x:v>openai</x:v>
      </x:c>
      <x:c r="I83" s="27" t="str">
        <x:v>medium</x:v>
      </x:c>
      <x:c r="J83" s="39" t="n">
        <x:v>5958127</x:v>
      </x:c>
      <x:c r="K83" s="27" t="str">
        <x:v>No</x:v>
      </x:c>
      <x:c r="L83" s="45" t="str">
        <x:v>/Users/mike/mimimoney/images/store screenshots/Submission White/update high resolution</x:v>
      </x:c>
    </x:row>
    <x:row r="84">
      <x:c r="A84" s="53" t="str">
        <x:v>01a00667-c6bd-7d50-9ec3-373af7746eef</x:v>
      </x:c>
      <x:c r="B84" s="54" t="n">
        <x:v>46249.71596064815</x:v>
      </x:c>
      <x:c r="C84" s="54" t="n">
        <x:v>46249.72069444445</x:v>
      </x:c>
      <x:c r="D84" s="55" t="n">
        <x:f>(C84-B84)*1440</x:f>
        <x:v>6.816666667582467</x:v>
      </x:c>
      <x:c r="E84" s="56" t="str">
        <x:f>IF(LEFT(F84,1)="{","Sub-agent","Direct")</x:f>
        <x:v>Direct</x:v>
      </x:c>
      <x:c r="F84" s="56" t="str">
        <x:v>vscode</x:v>
      </x:c>
      <x:c r="G84" s="56" t="str">
        <x:v>gpt-5.6-sol</x:v>
      </x:c>
      <x:c r="H84" s="56" t="str">
        <x:v>openai</x:v>
      </x:c>
      <x:c r="I84" s="56" t="str">
        <x:v>medium</x:v>
      </x:c>
      <x:c r="J84" s="57" t="n">
        <x:v>432130</x:v>
      </x:c>
      <x:c r="K84" s="56" t="str">
        <x:v>No</x:v>
      </x:c>
      <x:c r="L84" s="58" t="str">
        <x:v>/Users/mike/aiagents/paperclip</x:v>
      </x:c>
    </x:row>
    <x:row r="85">
      <x:c r="A85" s="43" t="str">
        <x:v>01a006a3-7acc-7552-93b3-df6715c53eb6</x:v>
      </x:c>
      <x:c r="B85" s="34" t="n">
        <x:v>46249.76125</x:v>
      </x:c>
      <x:c r="C85" s="34" t="n">
        <x:v>46249.76474537037</x:v>
      </x:c>
      <x:c r="D85" s="37" t="n">
        <x:f>(C85-B85)*1440</x:f>
        <x:v>5.033333325991407</x:v>
      </x:c>
      <x:c r="E85" s="30" t="str">
        <x:f>IF(LEFT(F85,1)="{","Sub-agent","Direct")</x:f>
        <x:v>Direct</x:v>
      </x:c>
      <x:c r="F85" s="30" t="str">
        <x:v>vscode</x:v>
      </x:c>
      <x:c r="G85" s="30" t="str">
        <x:v>gpt-5.6-sol</x:v>
      </x:c>
      <x:c r="H85" s="30" t="str">
        <x:v>openai</x:v>
      </x:c>
      <x:c r="I85" s="30" t="str">
        <x:v>medium</x:v>
      </x:c>
      <x:c r="J85" s="40" t="n">
        <x:v>810003</x:v>
      </x:c>
      <x:c r="K85" s="30" t="str">
        <x:v>No</x:v>
      </x:c>
      <x:c r="L85" s="46" t="str">
        <x:v>/Users/mike/Desktop/Hackathons/Google Build With Gemini Xprize/proof</x:v>
      </x:c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1550efc0fc954acc"/>
  </x:tableParts>
</x:worksheet>
</file>